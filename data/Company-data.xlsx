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TP\Yashu\"/>
    </mc:Choice>
  </mc:AlternateContent>
  <xr:revisionPtr revIDLastSave="0" documentId="13_ncr:1_{57ED0C93-2031-47D3-B095-C490EE8E52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me" sheetId="8" r:id="rId1"/>
    <sheet name="Working Capital Analysis" sheetId="9" r:id="rId2"/>
    <sheet name="FMCG" sheetId="1" r:id="rId3"/>
    <sheet name="Automotive" sheetId="7" r:id="rId4"/>
    <sheet name="Energy " sheetId="4" r:id="rId5"/>
    <sheet name="Metals" sheetId="5" r:id="rId6"/>
    <sheet name="Pharm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7" i="4" l="1"/>
  <c r="C204" i="7"/>
  <c r="G210" i="1"/>
  <c r="F210" i="1"/>
  <c r="F14" i="9" s="1"/>
  <c r="G14" i="9"/>
  <c r="C203" i="1"/>
  <c r="C2" i="9" s="1"/>
  <c r="C35" i="9"/>
  <c r="D35" i="9"/>
  <c r="E35" i="9"/>
  <c r="F35" i="9"/>
  <c r="G35" i="9"/>
  <c r="D34" i="9"/>
  <c r="E34" i="9"/>
  <c r="F34" i="9"/>
  <c r="G34" i="9"/>
  <c r="C34" i="9"/>
  <c r="C33" i="9"/>
  <c r="D33" i="9"/>
  <c r="E33" i="9"/>
  <c r="F33" i="9"/>
  <c r="G33" i="9"/>
  <c r="D32" i="9"/>
  <c r="E32" i="9"/>
  <c r="F32" i="9"/>
  <c r="G32" i="9"/>
  <c r="C32" i="9"/>
  <c r="D31" i="9"/>
  <c r="E31" i="9"/>
  <c r="F31" i="9"/>
  <c r="G31" i="9"/>
  <c r="C31" i="9"/>
  <c r="D30" i="9"/>
  <c r="E30" i="9"/>
  <c r="F30" i="9"/>
  <c r="G30" i="9"/>
  <c r="H30" i="9"/>
  <c r="C30" i="9"/>
  <c r="C28" i="9"/>
  <c r="D28" i="9"/>
  <c r="E28" i="9"/>
  <c r="F28" i="9"/>
  <c r="G28" i="9"/>
  <c r="D27" i="9"/>
  <c r="E27" i="9"/>
  <c r="F27" i="9"/>
  <c r="G27" i="9"/>
  <c r="C27" i="9"/>
  <c r="D26" i="9"/>
  <c r="E26" i="9"/>
  <c r="F26" i="9"/>
  <c r="G26" i="9"/>
  <c r="C26" i="9"/>
  <c r="D25" i="9"/>
  <c r="E25" i="9"/>
  <c r="F25" i="9"/>
  <c r="G25" i="9"/>
  <c r="C25" i="9"/>
  <c r="D24" i="9"/>
  <c r="E24" i="9"/>
  <c r="F24" i="9"/>
  <c r="G24" i="9"/>
  <c r="C24" i="9"/>
  <c r="H23" i="9"/>
  <c r="D23" i="9"/>
  <c r="E23" i="9"/>
  <c r="F23" i="9"/>
  <c r="G23" i="9"/>
  <c r="C23" i="9"/>
  <c r="C21" i="9"/>
  <c r="D21" i="9"/>
  <c r="E21" i="9"/>
  <c r="F21" i="9"/>
  <c r="G21" i="9"/>
  <c r="D20" i="9"/>
  <c r="E20" i="9"/>
  <c r="F20" i="9"/>
  <c r="G20" i="9"/>
  <c r="C20" i="9"/>
  <c r="C19" i="9"/>
  <c r="H9" i="9"/>
  <c r="G9" i="9"/>
  <c r="D19" i="9"/>
  <c r="E19" i="9"/>
  <c r="F19" i="9"/>
  <c r="G19" i="9"/>
  <c r="D18" i="9"/>
  <c r="E18" i="9"/>
  <c r="F18" i="9"/>
  <c r="G18" i="9"/>
  <c r="C18" i="9"/>
  <c r="C17" i="9"/>
  <c r="D17" i="9"/>
  <c r="E17" i="9"/>
  <c r="F17" i="9"/>
  <c r="G17" i="9"/>
  <c r="D16" i="9"/>
  <c r="E16" i="9"/>
  <c r="F16" i="9"/>
  <c r="G16" i="9"/>
  <c r="C16" i="9"/>
  <c r="D14" i="9"/>
  <c r="E14" i="9"/>
  <c r="D13" i="9"/>
  <c r="E13" i="9"/>
  <c r="F13" i="9"/>
  <c r="G13" i="9"/>
  <c r="C13" i="9"/>
  <c r="C12" i="9"/>
  <c r="D12" i="9"/>
  <c r="E12" i="9"/>
  <c r="F12" i="9"/>
  <c r="G12" i="9"/>
  <c r="D11" i="9"/>
  <c r="E11" i="9"/>
  <c r="F11" i="9"/>
  <c r="G11" i="9"/>
  <c r="C11" i="9"/>
  <c r="C10" i="9"/>
  <c r="D10" i="9"/>
  <c r="E10" i="9"/>
  <c r="F10" i="9"/>
  <c r="G10" i="9"/>
  <c r="D9" i="9"/>
  <c r="E9" i="9"/>
  <c r="F9" i="9"/>
  <c r="C9" i="9"/>
  <c r="D7" i="9"/>
  <c r="E7" i="9"/>
  <c r="D6" i="9"/>
  <c r="E6" i="9"/>
  <c r="F6" i="9"/>
  <c r="G6" i="9"/>
  <c r="C6" i="9"/>
  <c r="C5" i="9"/>
  <c r="D5" i="9"/>
  <c r="E5" i="9"/>
  <c r="F5" i="9"/>
  <c r="G5" i="9"/>
  <c r="D4" i="9"/>
  <c r="E4" i="9"/>
  <c r="F4" i="9"/>
  <c r="G4" i="9"/>
  <c r="C4" i="9"/>
  <c r="D3" i="9"/>
  <c r="E3" i="9"/>
  <c r="F3" i="9"/>
  <c r="G3" i="9"/>
  <c r="D2" i="9"/>
  <c r="E2" i="9"/>
  <c r="F2" i="9"/>
  <c r="G2" i="9"/>
  <c r="H2" i="9"/>
  <c r="C210" i="6"/>
  <c r="C207" i="6"/>
  <c r="G210" i="6"/>
  <c r="F210" i="6"/>
  <c r="E210" i="6"/>
  <c r="D210" i="6"/>
  <c r="G209" i="6"/>
  <c r="F209" i="6"/>
  <c r="E209" i="6"/>
  <c r="D209" i="6"/>
  <c r="C209" i="6"/>
  <c r="G207" i="6"/>
  <c r="F207" i="6"/>
  <c r="E207" i="6"/>
  <c r="D207" i="6"/>
  <c r="G206" i="6"/>
  <c r="F206" i="6"/>
  <c r="E206" i="6"/>
  <c r="D206" i="6"/>
  <c r="C206" i="6"/>
  <c r="G204" i="6"/>
  <c r="F204" i="6"/>
  <c r="E204" i="6"/>
  <c r="D204" i="6"/>
  <c r="C204" i="6"/>
  <c r="H203" i="6"/>
  <c r="G203" i="6"/>
  <c r="F203" i="6"/>
  <c r="E203" i="6"/>
  <c r="D203" i="6"/>
  <c r="C203" i="6"/>
  <c r="C210" i="5"/>
  <c r="G210" i="5"/>
  <c r="F210" i="5"/>
  <c r="E210" i="5"/>
  <c r="D210" i="5"/>
  <c r="G209" i="5"/>
  <c r="F209" i="5"/>
  <c r="E209" i="5"/>
  <c r="D209" i="5"/>
  <c r="C209" i="5"/>
  <c r="G207" i="5"/>
  <c r="F207" i="5"/>
  <c r="E207" i="5"/>
  <c r="D207" i="5"/>
  <c r="C207" i="5"/>
  <c r="G206" i="5"/>
  <c r="F206" i="5"/>
  <c r="E206" i="5"/>
  <c r="D206" i="5"/>
  <c r="C206" i="5"/>
  <c r="G204" i="5"/>
  <c r="F204" i="5"/>
  <c r="E204" i="5"/>
  <c r="D204" i="5"/>
  <c r="C204" i="5"/>
  <c r="H203" i="5"/>
  <c r="G203" i="5"/>
  <c r="F203" i="5"/>
  <c r="E203" i="5"/>
  <c r="D203" i="5"/>
  <c r="C203" i="5"/>
  <c r="C207" i="4"/>
  <c r="C210" i="4"/>
  <c r="C209" i="4"/>
  <c r="C206" i="4"/>
  <c r="C204" i="4"/>
  <c r="C203" i="4"/>
  <c r="G210" i="4"/>
  <c r="F210" i="4"/>
  <c r="E210" i="4"/>
  <c r="D210" i="4"/>
  <c r="G209" i="4"/>
  <c r="F209" i="4"/>
  <c r="E209" i="4"/>
  <c r="D209" i="4"/>
  <c r="G207" i="4"/>
  <c r="F207" i="4"/>
  <c r="E207" i="4"/>
  <c r="D207" i="4"/>
  <c r="G206" i="4"/>
  <c r="F206" i="4"/>
  <c r="E206" i="4"/>
  <c r="D206" i="4"/>
  <c r="G204" i="4"/>
  <c r="F204" i="4"/>
  <c r="E204" i="4"/>
  <c r="D204" i="4"/>
  <c r="H203" i="4"/>
  <c r="G203" i="4"/>
  <c r="F203" i="4"/>
  <c r="E203" i="4"/>
  <c r="D203" i="4"/>
  <c r="C207" i="7"/>
  <c r="C210" i="7"/>
  <c r="C209" i="7"/>
  <c r="C206" i="7"/>
  <c r="C203" i="7"/>
  <c r="D210" i="1"/>
  <c r="E210" i="1"/>
  <c r="G209" i="1"/>
  <c r="D209" i="1"/>
  <c r="E209" i="1"/>
  <c r="F209" i="1"/>
  <c r="C209" i="1"/>
  <c r="D207" i="1"/>
  <c r="E207" i="1"/>
  <c r="F207" i="1"/>
  <c r="G207" i="1"/>
  <c r="C207" i="1"/>
  <c r="D206" i="1"/>
  <c r="E206" i="1"/>
  <c r="F206" i="1"/>
  <c r="G206" i="1"/>
  <c r="C206" i="1"/>
  <c r="D210" i="7"/>
  <c r="E210" i="7"/>
  <c r="F210" i="7"/>
  <c r="G210" i="7"/>
  <c r="D209" i="7"/>
  <c r="E209" i="7"/>
  <c r="F209" i="7"/>
  <c r="G209" i="7"/>
  <c r="D207" i="7"/>
  <c r="E207" i="7"/>
  <c r="F207" i="7"/>
  <c r="G207" i="7"/>
  <c r="D206" i="7"/>
  <c r="E206" i="7"/>
  <c r="F206" i="7"/>
  <c r="G206" i="7"/>
  <c r="G204" i="7"/>
  <c r="F204" i="7"/>
  <c r="E204" i="7"/>
  <c r="D204" i="7"/>
  <c r="H203" i="7"/>
  <c r="G203" i="7"/>
  <c r="F203" i="7"/>
  <c r="E203" i="7"/>
  <c r="D203" i="7"/>
  <c r="C19" i="6"/>
  <c r="C18" i="6"/>
  <c r="C17" i="6"/>
  <c r="C16" i="6"/>
  <c r="C15" i="6"/>
  <c r="C14" i="6"/>
  <c r="C13" i="6"/>
  <c r="C12" i="6"/>
  <c r="G195" i="6"/>
  <c r="G198" i="6" s="1"/>
  <c r="F195" i="6"/>
  <c r="F198" i="6" s="1"/>
  <c r="E195" i="6"/>
  <c r="E198" i="6" s="1"/>
  <c r="D195" i="6"/>
  <c r="D198" i="6" s="1"/>
  <c r="C195" i="6"/>
  <c r="C198" i="6" s="1"/>
  <c r="G194" i="6"/>
  <c r="G197" i="6" s="1"/>
  <c r="F194" i="6"/>
  <c r="F197" i="6" s="1"/>
  <c r="E194" i="6"/>
  <c r="E197" i="6" s="1"/>
  <c r="D194" i="6"/>
  <c r="D197" i="6" s="1"/>
  <c r="C194" i="6"/>
  <c r="C197" i="6" s="1"/>
  <c r="G193" i="6"/>
  <c r="G196" i="6" s="1"/>
  <c r="F193" i="6"/>
  <c r="F196" i="6" s="1"/>
  <c r="E193" i="6"/>
  <c r="E196" i="6" s="1"/>
  <c r="D193" i="6"/>
  <c r="D196" i="6" s="1"/>
  <c r="D199" i="6" s="1"/>
  <c r="C193" i="6"/>
  <c r="C196" i="6" s="1"/>
  <c r="H192" i="6"/>
  <c r="G192" i="6"/>
  <c r="F192" i="6"/>
  <c r="E192" i="6"/>
  <c r="D192" i="6"/>
  <c r="C192" i="6"/>
  <c r="G175" i="6"/>
  <c r="G178" i="6" s="1"/>
  <c r="F175" i="6"/>
  <c r="F178" i="6" s="1"/>
  <c r="E175" i="6"/>
  <c r="E178" i="6" s="1"/>
  <c r="D175" i="6"/>
  <c r="D178" i="6" s="1"/>
  <c r="C175" i="6"/>
  <c r="C178" i="6" s="1"/>
  <c r="G174" i="6"/>
  <c r="G177" i="6" s="1"/>
  <c r="F174" i="6"/>
  <c r="F177" i="6" s="1"/>
  <c r="E174" i="6"/>
  <c r="E177" i="6" s="1"/>
  <c r="D174" i="6"/>
  <c r="D177" i="6" s="1"/>
  <c r="C174" i="6"/>
  <c r="C177" i="6" s="1"/>
  <c r="G173" i="6"/>
  <c r="G176" i="6" s="1"/>
  <c r="F173" i="6"/>
  <c r="F176" i="6" s="1"/>
  <c r="E173" i="6"/>
  <c r="E176" i="6" s="1"/>
  <c r="D173" i="6"/>
  <c r="D176" i="6" s="1"/>
  <c r="D179" i="6" s="1"/>
  <c r="C173" i="6"/>
  <c r="C176" i="6" s="1"/>
  <c r="C179" i="6" s="1"/>
  <c r="H172" i="6"/>
  <c r="G172" i="6"/>
  <c r="F172" i="6"/>
  <c r="E172" i="6"/>
  <c r="D172" i="6"/>
  <c r="C172" i="6"/>
  <c r="G155" i="6"/>
  <c r="G158" i="6" s="1"/>
  <c r="F155" i="6"/>
  <c r="F158" i="6" s="1"/>
  <c r="E155" i="6"/>
  <c r="E158" i="6" s="1"/>
  <c r="D155" i="6"/>
  <c r="D158" i="6" s="1"/>
  <c r="C155" i="6"/>
  <c r="C158" i="6" s="1"/>
  <c r="G154" i="6"/>
  <c r="G157" i="6" s="1"/>
  <c r="F154" i="6"/>
  <c r="F157" i="6" s="1"/>
  <c r="E154" i="6"/>
  <c r="E157" i="6" s="1"/>
  <c r="D154" i="6"/>
  <c r="D157" i="6" s="1"/>
  <c r="C154" i="6"/>
  <c r="C157" i="6" s="1"/>
  <c r="G153" i="6"/>
  <c r="G156" i="6" s="1"/>
  <c r="G159" i="6" s="1"/>
  <c r="F153" i="6"/>
  <c r="F156" i="6" s="1"/>
  <c r="E153" i="6"/>
  <c r="E156" i="6" s="1"/>
  <c r="D153" i="6"/>
  <c r="D156" i="6" s="1"/>
  <c r="D159" i="6" s="1"/>
  <c r="C153" i="6"/>
  <c r="C156" i="6" s="1"/>
  <c r="H152" i="6"/>
  <c r="G152" i="6"/>
  <c r="F152" i="6"/>
  <c r="E152" i="6"/>
  <c r="D152" i="6"/>
  <c r="C152" i="6"/>
  <c r="G135" i="6"/>
  <c r="G138" i="6" s="1"/>
  <c r="F135" i="6"/>
  <c r="F138" i="6" s="1"/>
  <c r="E135" i="6"/>
  <c r="E138" i="6" s="1"/>
  <c r="D135" i="6"/>
  <c r="D138" i="6" s="1"/>
  <c r="C135" i="6"/>
  <c r="C138" i="6" s="1"/>
  <c r="G134" i="6"/>
  <c r="G137" i="6" s="1"/>
  <c r="F134" i="6"/>
  <c r="F137" i="6" s="1"/>
  <c r="E134" i="6"/>
  <c r="E137" i="6" s="1"/>
  <c r="D134" i="6"/>
  <c r="D137" i="6" s="1"/>
  <c r="C134" i="6"/>
  <c r="C137" i="6" s="1"/>
  <c r="G133" i="6"/>
  <c r="G136" i="6" s="1"/>
  <c r="F133" i="6"/>
  <c r="F136" i="6" s="1"/>
  <c r="F139" i="6" s="1"/>
  <c r="E133" i="6"/>
  <c r="E136" i="6" s="1"/>
  <c r="E139" i="6" s="1"/>
  <c r="D133" i="6"/>
  <c r="D136" i="6" s="1"/>
  <c r="D139" i="6" s="1"/>
  <c r="C133" i="6"/>
  <c r="C136" i="6" s="1"/>
  <c r="C139" i="6" s="1"/>
  <c r="H132" i="6"/>
  <c r="G132" i="6"/>
  <c r="F132" i="6"/>
  <c r="E132" i="6"/>
  <c r="D132" i="6"/>
  <c r="C132" i="6"/>
  <c r="G115" i="6"/>
  <c r="G118" i="6" s="1"/>
  <c r="F115" i="6"/>
  <c r="F118" i="6" s="1"/>
  <c r="E115" i="6"/>
  <c r="E118" i="6" s="1"/>
  <c r="D115" i="6"/>
  <c r="D118" i="6" s="1"/>
  <c r="C115" i="6"/>
  <c r="C118" i="6" s="1"/>
  <c r="G114" i="6"/>
  <c r="G117" i="6" s="1"/>
  <c r="F114" i="6"/>
  <c r="F117" i="6" s="1"/>
  <c r="E114" i="6"/>
  <c r="E117" i="6" s="1"/>
  <c r="D114" i="6"/>
  <c r="D117" i="6" s="1"/>
  <c r="C114" i="6"/>
  <c r="C117" i="6" s="1"/>
  <c r="G113" i="6"/>
  <c r="G116" i="6" s="1"/>
  <c r="G119" i="6" s="1"/>
  <c r="F113" i="6"/>
  <c r="F116" i="6" s="1"/>
  <c r="F119" i="6" s="1"/>
  <c r="E113" i="6"/>
  <c r="E116" i="6" s="1"/>
  <c r="E119" i="6" s="1"/>
  <c r="D113" i="6"/>
  <c r="D116" i="6" s="1"/>
  <c r="D119" i="6" s="1"/>
  <c r="C113" i="6"/>
  <c r="C116" i="6" s="1"/>
  <c r="C119" i="6" s="1"/>
  <c r="H112" i="6"/>
  <c r="G112" i="6"/>
  <c r="F112" i="6"/>
  <c r="E112" i="6"/>
  <c r="D112" i="6"/>
  <c r="C112" i="6"/>
  <c r="G95" i="6"/>
  <c r="G98" i="6" s="1"/>
  <c r="F95" i="6"/>
  <c r="F98" i="6" s="1"/>
  <c r="E95" i="6"/>
  <c r="E98" i="6" s="1"/>
  <c r="D95" i="6"/>
  <c r="D98" i="6" s="1"/>
  <c r="C95" i="6"/>
  <c r="C98" i="6" s="1"/>
  <c r="G94" i="6"/>
  <c r="G97" i="6" s="1"/>
  <c r="F94" i="6"/>
  <c r="F97" i="6" s="1"/>
  <c r="E94" i="6"/>
  <c r="E97" i="6" s="1"/>
  <c r="D94" i="6"/>
  <c r="D97" i="6" s="1"/>
  <c r="C94" i="6"/>
  <c r="C97" i="6" s="1"/>
  <c r="G93" i="6"/>
  <c r="G96" i="6" s="1"/>
  <c r="G99" i="6" s="1"/>
  <c r="F93" i="6"/>
  <c r="F96" i="6" s="1"/>
  <c r="F99" i="6" s="1"/>
  <c r="E93" i="6"/>
  <c r="E96" i="6" s="1"/>
  <c r="E99" i="6" s="1"/>
  <c r="D93" i="6"/>
  <c r="D96" i="6" s="1"/>
  <c r="C93" i="6"/>
  <c r="C96" i="6" s="1"/>
  <c r="C99" i="6" s="1"/>
  <c r="H92" i="6"/>
  <c r="G92" i="6"/>
  <c r="F92" i="6"/>
  <c r="E92" i="6"/>
  <c r="D92" i="6"/>
  <c r="C92" i="6"/>
  <c r="G75" i="6"/>
  <c r="G78" i="6" s="1"/>
  <c r="F75" i="6"/>
  <c r="F78" i="6" s="1"/>
  <c r="E75" i="6"/>
  <c r="E78" i="6" s="1"/>
  <c r="D75" i="6"/>
  <c r="D78" i="6" s="1"/>
  <c r="C75" i="6"/>
  <c r="C78" i="6" s="1"/>
  <c r="G74" i="6"/>
  <c r="G77" i="6" s="1"/>
  <c r="F74" i="6"/>
  <c r="F77" i="6" s="1"/>
  <c r="E74" i="6"/>
  <c r="E77" i="6" s="1"/>
  <c r="D74" i="6"/>
  <c r="D77" i="6" s="1"/>
  <c r="C74" i="6"/>
  <c r="C77" i="6" s="1"/>
  <c r="G73" i="6"/>
  <c r="G76" i="6" s="1"/>
  <c r="F73" i="6"/>
  <c r="F76" i="6" s="1"/>
  <c r="E73" i="6"/>
  <c r="E76" i="6" s="1"/>
  <c r="D73" i="6"/>
  <c r="D76" i="6" s="1"/>
  <c r="C73" i="6"/>
  <c r="C76" i="6" s="1"/>
  <c r="H72" i="6"/>
  <c r="G72" i="6"/>
  <c r="F72" i="6"/>
  <c r="E72" i="6"/>
  <c r="D72" i="6"/>
  <c r="C72" i="6"/>
  <c r="G55" i="6"/>
  <c r="G58" i="6" s="1"/>
  <c r="F55" i="6"/>
  <c r="F58" i="6" s="1"/>
  <c r="E55" i="6"/>
  <c r="E58" i="6" s="1"/>
  <c r="D55" i="6"/>
  <c r="D58" i="6" s="1"/>
  <c r="C55" i="6"/>
  <c r="C58" i="6" s="1"/>
  <c r="G54" i="6"/>
  <c r="G57" i="6" s="1"/>
  <c r="F54" i="6"/>
  <c r="F57" i="6" s="1"/>
  <c r="E54" i="6"/>
  <c r="E57" i="6" s="1"/>
  <c r="D54" i="6"/>
  <c r="D57" i="6" s="1"/>
  <c r="C54" i="6"/>
  <c r="C57" i="6" s="1"/>
  <c r="G53" i="6"/>
  <c r="G56" i="6" s="1"/>
  <c r="G59" i="6" s="1"/>
  <c r="F53" i="6"/>
  <c r="F56" i="6" s="1"/>
  <c r="F59" i="6" s="1"/>
  <c r="E53" i="6"/>
  <c r="E56" i="6" s="1"/>
  <c r="E59" i="6" s="1"/>
  <c r="D53" i="6"/>
  <c r="D56" i="6" s="1"/>
  <c r="D59" i="6" s="1"/>
  <c r="C53" i="6"/>
  <c r="C56" i="6" s="1"/>
  <c r="C59" i="6" s="1"/>
  <c r="H52" i="6"/>
  <c r="G52" i="6"/>
  <c r="F52" i="6"/>
  <c r="E52" i="6"/>
  <c r="D52" i="6"/>
  <c r="C52" i="6"/>
  <c r="G35" i="6"/>
  <c r="G38" i="6" s="1"/>
  <c r="F35" i="6"/>
  <c r="F38" i="6" s="1"/>
  <c r="E35" i="6"/>
  <c r="E38" i="6" s="1"/>
  <c r="D35" i="6"/>
  <c r="D38" i="6" s="1"/>
  <c r="C35" i="6"/>
  <c r="C38" i="6" s="1"/>
  <c r="G34" i="6"/>
  <c r="G37" i="6" s="1"/>
  <c r="F34" i="6"/>
  <c r="F37" i="6" s="1"/>
  <c r="E34" i="6"/>
  <c r="E37" i="6" s="1"/>
  <c r="D34" i="6"/>
  <c r="D37" i="6" s="1"/>
  <c r="C34" i="6"/>
  <c r="C37" i="6" s="1"/>
  <c r="G33" i="6"/>
  <c r="G36" i="6" s="1"/>
  <c r="G39" i="6" s="1"/>
  <c r="F33" i="6"/>
  <c r="F36" i="6" s="1"/>
  <c r="F39" i="6" s="1"/>
  <c r="E33" i="6"/>
  <c r="E36" i="6" s="1"/>
  <c r="E39" i="6" s="1"/>
  <c r="D33" i="6"/>
  <c r="D36" i="6" s="1"/>
  <c r="D39" i="6" s="1"/>
  <c r="C33" i="6"/>
  <c r="C36" i="6" s="1"/>
  <c r="C39" i="6" s="1"/>
  <c r="H32" i="6"/>
  <c r="G32" i="6"/>
  <c r="F32" i="6"/>
  <c r="E32" i="6"/>
  <c r="D32" i="6"/>
  <c r="C32" i="6"/>
  <c r="G15" i="6"/>
  <c r="G18" i="6" s="1"/>
  <c r="F15" i="6"/>
  <c r="F18" i="6" s="1"/>
  <c r="E15" i="6"/>
  <c r="E18" i="6" s="1"/>
  <c r="D15" i="6"/>
  <c r="D18" i="6" s="1"/>
  <c r="G14" i="6"/>
  <c r="G17" i="6" s="1"/>
  <c r="F14" i="6"/>
  <c r="F17" i="6" s="1"/>
  <c r="E14" i="6"/>
  <c r="E17" i="6" s="1"/>
  <c r="D14" i="6"/>
  <c r="D17" i="6" s="1"/>
  <c r="G13" i="6"/>
  <c r="G16" i="6" s="1"/>
  <c r="G19" i="6" s="1"/>
  <c r="F13" i="6"/>
  <c r="F16" i="6" s="1"/>
  <c r="F19" i="6" s="1"/>
  <c r="E13" i="6"/>
  <c r="E16" i="6" s="1"/>
  <c r="E19" i="6" s="1"/>
  <c r="D13" i="6"/>
  <c r="D16" i="6" s="1"/>
  <c r="D19" i="6" s="1"/>
  <c r="H12" i="6"/>
  <c r="G12" i="6"/>
  <c r="F12" i="6"/>
  <c r="E12" i="6"/>
  <c r="D12" i="6"/>
  <c r="C154" i="5"/>
  <c r="G195" i="5"/>
  <c r="G198" i="5" s="1"/>
  <c r="F195" i="5"/>
  <c r="F198" i="5" s="1"/>
  <c r="E195" i="5"/>
  <c r="E198" i="5" s="1"/>
  <c r="D195" i="5"/>
  <c r="D198" i="5" s="1"/>
  <c r="C195" i="5"/>
  <c r="C198" i="5" s="1"/>
  <c r="G194" i="5"/>
  <c r="G197" i="5" s="1"/>
  <c r="F194" i="5"/>
  <c r="F197" i="5" s="1"/>
  <c r="E194" i="5"/>
  <c r="E197" i="5" s="1"/>
  <c r="D194" i="5"/>
  <c r="D197" i="5" s="1"/>
  <c r="C194" i="5"/>
  <c r="C197" i="5" s="1"/>
  <c r="G193" i="5"/>
  <c r="G196" i="5" s="1"/>
  <c r="F193" i="5"/>
  <c r="F196" i="5" s="1"/>
  <c r="E193" i="5"/>
  <c r="E196" i="5" s="1"/>
  <c r="D193" i="5"/>
  <c r="D196" i="5" s="1"/>
  <c r="C193" i="5"/>
  <c r="C196" i="5" s="1"/>
  <c r="H192" i="5"/>
  <c r="G192" i="5"/>
  <c r="F192" i="5"/>
  <c r="E192" i="5"/>
  <c r="D192" i="5"/>
  <c r="C192" i="5"/>
  <c r="G175" i="5"/>
  <c r="G178" i="5" s="1"/>
  <c r="F175" i="5"/>
  <c r="F178" i="5" s="1"/>
  <c r="E175" i="5"/>
  <c r="E178" i="5" s="1"/>
  <c r="D175" i="5"/>
  <c r="D178" i="5" s="1"/>
  <c r="C175" i="5"/>
  <c r="C178" i="5" s="1"/>
  <c r="G174" i="5"/>
  <c r="G177" i="5" s="1"/>
  <c r="F174" i="5"/>
  <c r="F177" i="5" s="1"/>
  <c r="E174" i="5"/>
  <c r="E177" i="5" s="1"/>
  <c r="D174" i="5"/>
  <c r="D177" i="5" s="1"/>
  <c r="C174" i="5"/>
  <c r="C177" i="5" s="1"/>
  <c r="G173" i="5"/>
  <c r="G176" i="5" s="1"/>
  <c r="F173" i="5"/>
  <c r="F176" i="5" s="1"/>
  <c r="F179" i="5" s="1"/>
  <c r="E173" i="5"/>
  <c r="E176" i="5" s="1"/>
  <c r="D173" i="5"/>
  <c r="D176" i="5" s="1"/>
  <c r="C173" i="5"/>
  <c r="C176" i="5" s="1"/>
  <c r="H172" i="5"/>
  <c r="G172" i="5"/>
  <c r="F172" i="5"/>
  <c r="E172" i="5"/>
  <c r="D172" i="5"/>
  <c r="C172" i="5"/>
  <c r="G155" i="5"/>
  <c r="G158" i="5" s="1"/>
  <c r="F155" i="5"/>
  <c r="F158" i="5" s="1"/>
  <c r="E155" i="5"/>
  <c r="E158" i="5" s="1"/>
  <c r="D155" i="5"/>
  <c r="D158" i="5" s="1"/>
  <c r="C155" i="5"/>
  <c r="C158" i="5" s="1"/>
  <c r="G154" i="5"/>
  <c r="G157" i="5" s="1"/>
  <c r="F154" i="5"/>
  <c r="F157" i="5" s="1"/>
  <c r="E154" i="5"/>
  <c r="E157" i="5" s="1"/>
  <c r="D154" i="5"/>
  <c r="D157" i="5" s="1"/>
  <c r="C157" i="5"/>
  <c r="G153" i="5"/>
  <c r="G156" i="5" s="1"/>
  <c r="F153" i="5"/>
  <c r="F156" i="5" s="1"/>
  <c r="F159" i="5" s="1"/>
  <c r="E153" i="5"/>
  <c r="E156" i="5" s="1"/>
  <c r="E159" i="5" s="1"/>
  <c r="D153" i="5"/>
  <c r="D156" i="5" s="1"/>
  <c r="D159" i="5" s="1"/>
  <c r="C153" i="5"/>
  <c r="C156" i="5" s="1"/>
  <c r="C159" i="5" s="1"/>
  <c r="H152" i="5"/>
  <c r="G152" i="5"/>
  <c r="F152" i="5"/>
  <c r="E152" i="5"/>
  <c r="D152" i="5"/>
  <c r="C152" i="5"/>
  <c r="G135" i="5"/>
  <c r="G138" i="5" s="1"/>
  <c r="F135" i="5"/>
  <c r="F138" i="5" s="1"/>
  <c r="E135" i="5"/>
  <c r="E138" i="5" s="1"/>
  <c r="D135" i="5"/>
  <c r="D138" i="5" s="1"/>
  <c r="C135" i="5"/>
  <c r="C138" i="5" s="1"/>
  <c r="G134" i="5"/>
  <c r="G137" i="5" s="1"/>
  <c r="F134" i="5"/>
  <c r="F137" i="5" s="1"/>
  <c r="E134" i="5"/>
  <c r="E137" i="5" s="1"/>
  <c r="D134" i="5"/>
  <c r="D137" i="5" s="1"/>
  <c r="C134" i="5"/>
  <c r="C137" i="5" s="1"/>
  <c r="G133" i="5"/>
  <c r="G136" i="5" s="1"/>
  <c r="G139" i="5" s="1"/>
  <c r="F133" i="5"/>
  <c r="F136" i="5" s="1"/>
  <c r="F139" i="5" s="1"/>
  <c r="E133" i="5"/>
  <c r="E136" i="5" s="1"/>
  <c r="E139" i="5" s="1"/>
  <c r="D133" i="5"/>
  <c r="D136" i="5" s="1"/>
  <c r="D139" i="5" s="1"/>
  <c r="C133" i="5"/>
  <c r="C136" i="5" s="1"/>
  <c r="C139" i="5" s="1"/>
  <c r="H132" i="5"/>
  <c r="G132" i="5"/>
  <c r="F132" i="5"/>
  <c r="E132" i="5"/>
  <c r="D132" i="5"/>
  <c r="C132" i="5"/>
  <c r="G115" i="5"/>
  <c r="G118" i="5" s="1"/>
  <c r="F115" i="5"/>
  <c r="F118" i="5" s="1"/>
  <c r="E115" i="5"/>
  <c r="E118" i="5" s="1"/>
  <c r="D115" i="5"/>
  <c r="D118" i="5" s="1"/>
  <c r="C115" i="5"/>
  <c r="C118" i="5" s="1"/>
  <c r="G114" i="5"/>
  <c r="G117" i="5" s="1"/>
  <c r="F114" i="5"/>
  <c r="F117" i="5" s="1"/>
  <c r="E114" i="5"/>
  <c r="E117" i="5" s="1"/>
  <c r="D114" i="5"/>
  <c r="D117" i="5" s="1"/>
  <c r="C114" i="5"/>
  <c r="C117" i="5" s="1"/>
  <c r="G113" i="5"/>
  <c r="G116" i="5" s="1"/>
  <c r="G119" i="5" s="1"/>
  <c r="F113" i="5"/>
  <c r="F116" i="5" s="1"/>
  <c r="F119" i="5" s="1"/>
  <c r="E113" i="5"/>
  <c r="E116" i="5" s="1"/>
  <c r="E119" i="5" s="1"/>
  <c r="D113" i="5"/>
  <c r="D116" i="5" s="1"/>
  <c r="D119" i="5" s="1"/>
  <c r="C113" i="5"/>
  <c r="C116" i="5" s="1"/>
  <c r="C119" i="5" s="1"/>
  <c r="H112" i="5"/>
  <c r="G112" i="5"/>
  <c r="F112" i="5"/>
  <c r="E112" i="5"/>
  <c r="D112" i="5"/>
  <c r="C112" i="5"/>
  <c r="G95" i="5"/>
  <c r="G98" i="5" s="1"/>
  <c r="F95" i="5"/>
  <c r="F98" i="5" s="1"/>
  <c r="E95" i="5"/>
  <c r="E98" i="5" s="1"/>
  <c r="D95" i="5"/>
  <c r="D98" i="5" s="1"/>
  <c r="C95" i="5"/>
  <c r="C98" i="5" s="1"/>
  <c r="G94" i="5"/>
  <c r="G97" i="5" s="1"/>
  <c r="F94" i="5"/>
  <c r="F97" i="5" s="1"/>
  <c r="E94" i="5"/>
  <c r="E97" i="5" s="1"/>
  <c r="D94" i="5"/>
  <c r="D97" i="5" s="1"/>
  <c r="C94" i="5"/>
  <c r="C97" i="5" s="1"/>
  <c r="G93" i="5"/>
  <c r="G96" i="5" s="1"/>
  <c r="F93" i="5"/>
  <c r="F96" i="5" s="1"/>
  <c r="E93" i="5"/>
  <c r="E96" i="5" s="1"/>
  <c r="D93" i="5"/>
  <c r="D96" i="5" s="1"/>
  <c r="C93" i="5"/>
  <c r="C96" i="5" s="1"/>
  <c r="H92" i="5"/>
  <c r="G92" i="5"/>
  <c r="F92" i="5"/>
  <c r="E92" i="5"/>
  <c r="D92" i="5"/>
  <c r="C92" i="5"/>
  <c r="G75" i="5"/>
  <c r="G78" i="5" s="1"/>
  <c r="F75" i="5"/>
  <c r="F78" i="5" s="1"/>
  <c r="E75" i="5"/>
  <c r="E78" i="5" s="1"/>
  <c r="D75" i="5"/>
  <c r="D78" i="5" s="1"/>
  <c r="C75" i="5"/>
  <c r="C78" i="5" s="1"/>
  <c r="G74" i="5"/>
  <c r="G77" i="5" s="1"/>
  <c r="F74" i="5"/>
  <c r="F77" i="5" s="1"/>
  <c r="E74" i="5"/>
  <c r="E77" i="5" s="1"/>
  <c r="D74" i="5"/>
  <c r="D77" i="5" s="1"/>
  <c r="C74" i="5"/>
  <c r="C77" i="5" s="1"/>
  <c r="G73" i="5"/>
  <c r="G76" i="5" s="1"/>
  <c r="G79" i="5" s="1"/>
  <c r="F73" i="5"/>
  <c r="F76" i="5" s="1"/>
  <c r="F79" i="5" s="1"/>
  <c r="E73" i="5"/>
  <c r="E76" i="5" s="1"/>
  <c r="E79" i="5" s="1"/>
  <c r="D73" i="5"/>
  <c r="D76" i="5" s="1"/>
  <c r="D79" i="5" s="1"/>
  <c r="C73" i="5"/>
  <c r="C76" i="5" s="1"/>
  <c r="C79" i="5" s="1"/>
  <c r="H72" i="5"/>
  <c r="G72" i="5"/>
  <c r="F72" i="5"/>
  <c r="E72" i="5"/>
  <c r="D72" i="5"/>
  <c r="C72" i="5"/>
  <c r="G55" i="5"/>
  <c r="G58" i="5" s="1"/>
  <c r="F55" i="5"/>
  <c r="F58" i="5" s="1"/>
  <c r="E55" i="5"/>
  <c r="E58" i="5" s="1"/>
  <c r="D55" i="5"/>
  <c r="D58" i="5" s="1"/>
  <c r="C55" i="5"/>
  <c r="C58" i="5" s="1"/>
  <c r="G54" i="5"/>
  <c r="G57" i="5" s="1"/>
  <c r="F54" i="5"/>
  <c r="F57" i="5" s="1"/>
  <c r="E54" i="5"/>
  <c r="E57" i="5" s="1"/>
  <c r="D54" i="5"/>
  <c r="D57" i="5" s="1"/>
  <c r="C54" i="5"/>
  <c r="C57" i="5" s="1"/>
  <c r="G53" i="5"/>
  <c r="G56" i="5" s="1"/>
  <c r="G59" i="5" s="1"/>
  <c r="F53" i="5"/>
  <c r="F56" i="5" s="1"/>
  <c r="F59" i="5" s="1"/>
  <c r="E53" i="5"/>
  <c r="E56" i="5" s="1"/>
  <c r="E59" i="5" s="1"/>
  <c r="D53" i="5"/>
  <c r="D56" i="5" s="1"/>
  <c r="D59" i="5" s="1"/>
  <c r="C53" i="5"/>
  <c r="C56" i="5" s="1"/>
  <c r="H52" i="5"/>
  <c r="G52" i="5"/>
  <c r="F52" i="5"/>
  <c r="E52" i="5"/>
  <c r="D52" i="5"/>
  <c r="C52" i="5"/>
  <c r="G35" i="5"/>
  <c r="G38" i="5" s="1"/>
  <c r="F35" i="5"/>
  <c r="F38" i="5" s="1"/>
  <c r="E35" i="5"/>
  <c r="E38" i="5" s="1"/>
  <c r="D35" i="5"/>
  <c r="D38" i="5" s="1"/>
  <c r="C35" i="5"/>
  <c r="C38" i="5" s="1"/>
  <c r="G34" i="5"/>
  <c r="G37" i="5" s="1"/>
  <c r="F34" i="5"/>
  <c r="F37" i="5" s="1"/>
  <c r="E34" i="5"/>
  <c r="E37" i="5" s="1"/>
  <c r="D34" i="5"/>
  <c r="D37" i="5" s="1"/>
  <c r="C34" i="5"/>
  <c r="C37" i="5" s="1"/>
  <c r="G33" i="5"/>
  <c r="G36" i="5" s="1"/>
  <c r="G39" i="5" s="1"/>
  <c r="F33" i="5"/>
  <c r="F36" i="5" s="1"/>
  <c r="F39" i="5" s="1"/>
  <c r="E33" i="5"/>
  <c r="E36" i="5" s="1"/>
  <c r="D33" i="5"/>
  <c r="D36" i="5" s="1"/>
  <c r="C33" i="5"/>
  <c r="C36" i="5" s="1"/>
  <c r="C39" i="5" s="1"/>
  <c r="H32" i="5"/>
  <c r="G32" i="5"/>
  <c r="F32" i="5"/>
  <c r="E32" i="5"/>
  <c r="D32" i="5"/>
  <c r="C32" i="5"/>
  <c r="G15" i="5"/>
  <c r="G18" i="5" s="1"/>
  <c r="F15" i="5"/>
  <c r="F18" i="5" s="1"/>
  <c r="E15" i="5"/>
  <c r="E18" i="5" s="1"/>
  <c r="D15" i="5"/>
  <c r="D18" i="5" s="1"/>
  <c r="C15" i="5"/>
  <c r="C18" i="5" s="1"/>
  <c r="G14" i="5"/>
  <c r="G17" i="5" s="1"/>
  <c r="F14" i="5"/>
  <c r="F17" i="5" s="1"/>
  <c r="E14" i="5"/>
  <c r="E17" i="5" s="1"/>
  <c r="D14" i="5"/>
  <c r="D17" i="5" s="1"/>
  <c r="C14" i="5"/>
  <c r="C17" i="5" s="1"/>
  <c r="G13" i="5"/>
  <c r="G16" i="5" s="1"/>
  <c r="F13" i="5"/>
  <c r="F16" i="5" s="1"/>
  <c r="F19" i="5" s="1"/>
  <c r="E13" i="5"/>
  <c r="E16" i="5" s="1"/>
  <c r="D13" i="5"/>
  <c r="D16" i="5" s="1"/>
  <c r="D19" i="5" s="1"/>
  <c r="C13" i="5"/>
  <c r="C16" i="5" s="1"/>
  <c r="H12" i="5"/>
  <c r="G12" i="5"/>
  <c r="F12" i="5"/>
  <c r="E12" i="5"/>
  <c r="D12" i="5"/>
  <c r="C12" i="5"/>
  <c r="G195" i="4"/>
  <c r="G198" i="4" s="1"/>
  <c r="F195" i="4"/>
  <c r="F198" i="4" s="1"/>
  <c r="E195" i="4"/>
  <c r="E198" i="4" s="1"/>
  <c r="D195" i="4"/>
  <c r="D198" i="4" s="1"/>
  <c r="C195" i="4"/>
  <c r="C198" i="4" s="1"/>
  <c r="G194" i="4"/>
  <c r="G197" i="4" s="1"/>
  <c r="F194" i="4"/>
  <c r="F197" i="4" s="1"/>
  <c r="E194" i="4"/>
  <c r="E197" i="4" s="1"/>
  <c r="D194" i="4"/>
  <c r="D197" i="4" s="1"/>
  <c r="C194" i="4"/>
  <c r="G193" i="4"/>
  <c r="G196" i="4" s="1"/>
  <c r="G199" i="4" s="1"/>
  <c r="F193" i="4"/>
  <c r="F196" i="4" s="1"/>
  <c r="E193" i="4"/>
  <c r="E196" i="4" s="1"/>
  <c r="E199" i="4" s="1"/>
  <c r="D193" i="4"/>
  <c r="D196" i="4" s="1"/>
  <c r="C193" i="4"/>
  <c r="C196" i="4" s="1"/>
  <c r="C199" i="4" s="1"/>
  <c r="H192" i="4"/>
  <c r="G192" i="4"/>
  <c r="F192" i="4"/>
  <c r="E192" i="4"/>
  <c r="D192" i="4"/>
  <c r="C192" i="4"/>
  <c r="G175" i="4"/>
  <c r="G178" i="4" s="1"/>
  <c r="F175" i="4"/>
  <c r="F178" i="4" s="1"/>
  <c r="E175" i="4"/>
  <c r="E178" i="4" s="1"/>
  <c r="D175" i="4"/>
  <c r="D178" i="4" s="1"/>
  <c r="C175" i="4"/>
  <c r="C178" i="4" s="1"/>
  <c r="G174" i="4"/>
  <c r="G177" i="4" s="1"/>
  <c r="F174" i="4"/>
  <c r="F177" i="4" s="1"/>
  <c r="E174" i="4"/>
  <c r="E177" i="4" s="1"/>
  <c r="D174" i="4"/>
  <c r="D177" i="4" s="1"/>
  <c r="C174" i="4"/>
  <c r="C177" i="4" s="1"/>
  <c r="G173" i="4"/>
  <c r="G176" i="4" s="1"/>
  <c r="G179" i="4" s="1"/>
  <c r="F173" i="4"/>
  <c r="F176" i="4" s="1"/>
  <c r="F179" i="4" s="1"/>
  <c r="E173" i="4"/>
  <c r="E176" i="4" s="1"/>
  <c r="E179" i="4" s="1"/>
  <c r="D173" i="4"/>
  <c r="D176" i="4" s="1"/>
  <c r="D179" i="4" s="1"/>
  <c r="C173" i="4"/>
  <c r="C176" i="4" s="1"/>
  <c r="C179" i="4" s="1"/>
  <c r="H172" i="4"/>
  <c r="G172" i="4"/>
  <c r="F172" i="4"/>
  <c r="E172" i="4"/>
  <c r="D172" i="4"/>
  <c r="C172" i="4"/>
  <c r="G155" i="4"/>
  <c r="G158" i="4" s="1"/>
  <c r="F155" i="4"/>
  <c r="F158" i="4" s="1"/>
  <c r="E155" i="4"/>
  <c r="E158" i="4" s="1"/>
  <c r="D155" i="4"/>
  <c r="D158" i="4" s="1"/>
  <c r="C155" i="4"/>
  <c r="C158" i="4" s="1"/>
  <c r="G154" i="4"/>
  <c r="G157" i="4" s="1"/>
  <c r="F154" i="4"/>
  <c r="F157" i="4" s="1"/>
  <c r="E154" i="4"/>
  <c r="E157" i="4" s="1"/>
  <c r="D154" i="4"/>
  <c r="D157" i="4" s="1"/>
  <c r="C154" i="4"/>
  <c r="C157" i="4" s="1"/>
  <c r="G153" i="4"/>
  <c r="G156" i="4" s="1"/>
  <c r="G159" i="4" s="1"/>
  <c r="F153" i="4"/>
  <c r="F156" i="4" s="1"/>
  <c r="F159" i="4" s="1"/>
  <c r="E153" i="4"/>
  <c r="E156" i="4" s="1"/>
  <c r="E159" i="4" s="1"/>
  <c r="D153" i="4"/>
  <c r="D156" i="4" s="1"/>
  <c r="D159" i="4" s="1"/>
  <c r="C153" i="4"/>
  <c r="C156" i="4" s="1"/>
  <c r="C159" i="4" s="1"/>
  <c r="H152" i="4"/>
  <c r="G152" i="4"/>
  <c r="F152" i="4"/>
  <c r="E152" i="4"/>
  <c r="D152" i="4"/>
  <c r="C152" i="4"/>
  <c r="G135" i="4"/>
  <c r="G138" i="4" s="1"/>
  <c r="F135" i="4"/>
  <c r="F138" i="4" s="1"/>
  <c r="E135" i="4"/>
  <c r="E138" i="4" s="1"/>
  <c r="D135" i="4"/>
  <c r="D138" i="4" s="1"/>
  <c r="C135" i="4"/>
  <c r="C138" i="4" s="1"/>
  <c r="G134" i="4"/>
  <c r="G137" i="4" s="1"/>
  <c r="F134" i="4"/>
  <c r="F137" i="4" s="1"/>
  <c r="E134" i="4"/>
  <c r="E137" i="4" s="1"/>
  <c r="D134" i="4"/>
  <c r="D137" i="4" s="1"/>
  <c r="C134" i="4"/>
  <c r="C137" i="4" s="1"/>
  <c r="G133" i="4"/>
  <c r="G136" i="4" s="1"/>
  <c r="G139" i="4" s="1"/>
  <c r="F133" i="4"/>
  <c r="F136" i="4" s="1"/>
  <c r="F139" i="4" s="1"/>
  <c r="E133" i="4"/>
  <c r="E136" i="4" s="1"/>
  <c r="E139" i="4" s="1"/>
  <c r="D133" i="4"/>
  <c r="D136" i="4" s="1"/>
  <c r="D139" i="4" s="1"/>
  <c r="C133" i="4"/>
  <c r="C136" i="4" s="1"/>
  <c r="C139" i="4" s="1"/>
  <c r="H132" i="4"/>
  <c r="G132" i="4"/>
  <c r="F132" i="4"/>
  <c r="E132" i="4"/>
  <c r="D132" i="4"/>
  <c r="C132" i="4"/>
  <c r="G115" i="4"/>
  <c r="G118" i="4" s="1"/>
  <c r="F115" i="4"/>
  <c r="F118" i="4" s="1"/>
  <c r="E115" i="4"/>
  <c r="E118" i="4" s="1"/>
  <c r="D115" i="4"/>
  <c r="D118" i="4" s="1"/>
  <c r="C115" i="4"/>
  <c r="C118" i="4" s="1"/>
  <c r="G114" i="4"/>
  <c r="G117" i="4" s="1"/>
  <c r="F114" i="4"/>
  <c r="F117" i="4" s="1"/>
  <c r="E114" i="4"/>
  <c r="E117" i="4" s="1"/>
  <c r="D114" i="4"/>
  <c r="D117" i="4" s="1"/>
  <c r="C114" i="4"/>
  <c r="C117" i="4" s="1"/>
  <c r="G113" i="4"/>
  <c r="G116" i="4" s="1"/>
  <c r="F113" i="4"/>
  <c r="F116" i="4" s="1"/>
  <c r="E113" i="4"/>
  <c r="E116" i="4" s="1"/>
  <c r="E119" i="4" s="1"/>
  <c r="D113" i="4"/>
  <c r="D116" i="4" s="1"/>
  <c r="D119" i="4" s="1"/>
  <c r="C113" i="4"/>
  <c r="C116" i="4" s="1"/>
  <c r="C119" i="4" s="1"/>
  <c r="H112" i="4"/>
  <c r="G112" i="4"/>
  <c r="F112" i="4"/>
  <c r="E112" i="4"/>
  <c r="D112" i="4"/>
  <c r="C112" i="4"/>
  <c r="G95" i="4"/>
  <c r="G98" i="4" s="1"/>
  <c r="F95" i="4"/>
  <c r="F98" i="4" s="1"/>
  <c r="E95" i="4"/>
  <c r="E98" i="4" s="1"/>
  <c r="D95" i="4"/>
  <c r="D98" i="4" s="1"/>
  <c r="C95" i="4"/>
  <c r="C98" i="4" s="1"/>
  <c r="G94" i="4"/>
  <c r="G97" i="4" s="1"/>
  <c r="F94" i="4"/>
  <c r="F97" i="4" s="1"/>
  <c r="E94" i="4"/>
  <c r="E97" i="4" s="1"/>
  <c r="D94" i="4"/>
  <c r="D97" i="4" s="1"/>
  <c r="C94" i="4"/>
  <c r="C97" i="4" s="1"/>
  <c r="G93" i="4"/>
  <c r="G96" i="4" s="1"/>
  <c r="G99" i="4" s="1"/>
  <c r="F93" i="4"/>
  <c r="F96" i="4" s="1"/>
  <c r="F99" i="4" s="1"/>
  <c r="E93" i="4"/>
  <c r="E96" i="4" s="1"/>
  <c r="E99" i="4" s="1"/>
  <c r="D93" i="4"/>
  <c r="D96" i="4" s="1"/>
  <c r="D99" i="4" s="1"/>
  <c r="C93" i="4"/>
  <c r="C96" i="4" s="1"/>
  <c r="C99" i="4" s="1"/>
  <c r="H92" i="4"/>
  <c r="G92" i="4"/>
  <c r="F92" i="4"/>
  <c r="E92" i="4"/>
  <c r="D92" i="4"/>
  <c r="C92" i="4"/>
  <c r="G75" i="4"/>
  <c r="G78" i="4" s="1"/>
  <c r="F75" i="4"/>
  <c r="F78" i="4" s="1"/>
  <c r="E75" i="4"/>
  <c r="E78" i="4" s="1"/>
  <c r="D75" i="4"/>
  <c r="D78" i="4" s="1"/>
  <c r="C75" i="4"/>
  <c r="C78" i="4" s="1"/>
  <c r="G74" i="4"/>
  <c r="G77" i="4" s="1"/>
  <c r="F74" i="4"/>
  <c r="F77" i="4" s="1"/>
  <c r="E74" i="4"/>
  <c r="E77" i="4" s="1"/>
  <c r="D74" i="4"/>
  <c r="D77" i="4" s="1"/>
  <c r="C74" i="4"/>
  <c r="C77" i="4" s="1"/>
  <c r="G73" i="4"/>
  <c r="G76" i="4" s="1"/>
  <c r="G79" i="4" s="1"/>
  <c r="F73" i="4"/>
  <c r="F76" i="4" s="1"/>
  <c r="F79" i="4" s="1"/>
  <c r="E73" i="4"/>
  <c r="E76" i="4" s="1"/>
  <c r="E79" i="4" s="1"/>
  <c r="D73" i="4"/>
  <c r="D76" i="4" s="1"/>
  <c r="D79" i="4" s="1"/>
  <c r="C73" i="4"/>
  <c r="C76" i="4" s="1"/>
  <c r="C79" i="4" s="1"/>
  <c r="H72" i="4"/>
  <c r="G72" i="4"/>
  <c r="F72" i="4"/>
  <c r="E72" i="4"/>
  <c r="D72" i="4"/>
  <c r="C72" i="4"/>
  <c r="G55" i="4"/>
  <c r="G58" i="4" s="1"/>
  <c r="F55" i="4"/>
  <c r="F58" i="4" s="1"/>
  <c r="E55" i="4"/>
  <c r="E58" i="4" s="1"/>
  <c r="D55" i="4"/>
  <c r="D58" i="4" s="1"/>
  <c r="C55" i="4"/>
  <c r="C58" i="4" s="1"/>
  <c r="G54" i="4"/>
  <c r="G57" i="4" s="1"/>
  <c r="F54" i="4"/>
  <c r="F57" i="4" s="1"/>
  <c r="E54" i="4"/>
  <c r="E57" i="4" s="1"/>
  <c r="D54" i="4"/>
  <c r="D57" i="4" s="1"/>
  <c r="C54" i="4"/>
  <c r="C57" i="4" s="1"/>
  <c r="G53" i="4"/>
  <c r="G56" i="4" s="1"/>
  <c r="G59" i="4" s="1"/>
  <c r="F53" i="4"/>
  <c r="F56" i="4" s="1"/>
  <c r="F59" i="4" s="1"/>
  <c r="E53" i="4"/>
  <c r="E56" i="4" s="1"/>
  <c r="E59" i="4" s="1"/>
  <c r="D53" i="4"/>
  <c r="D56" i="4" s="1"/>
  <c r="D59" i="4" s="1"/>
  <c r="C53" i="4"/>
  <c r="C56" i="4" s="1"/>
  <c r="C59" i="4" s="1"/>
  <c r="H52" i="4"/>
  <c r="G52" i="4"/>
  <c r="F52" i="4"/>
  <c r="E52" i="4"/>
  <c r="D52" i="4"/>
  <c r="C52" i="4"/>
  <c r="G35" i="4"/>
  <c r="G38" i="4" s="1"/>
  <c r="F35" i="4"/>
  <c r="F38" i="4" s="1"/>
  <c r="E35" i="4"/>
  <c r="E38" i="4" s="1"/>
  <c r="D35" i="4"/>
  <c r="D38" i="4" s="1"/>
  <c r="C35" i="4"/>
  <c r="C38" i="4" s="1"/>
  <c r="G34" i="4"/>
  <c r="G37" i="4" s="1"/>
  <c r="F34" i="4"/>
  <c r="F37" i="4" s="1"/>
  <c r="E34" i="4"/>
  <c r="E37" i="4" s="1"/>
  <c r="D34" i="4"/>
  <c r="D37" i="4" s="1"/>
  <c r="C34" i="4"/>
  <c r="C37" i="4" s="1"/>
  <c r="G33" i="4"/>
  <c r="G36" i="4" s="1"/>
  <c r="F33" i="4"/>
  <c r="F36" i="4" s="1"/>
  <c r="E33" i="4"/>
  <c r="E36" i="4" s="1"/>
  <c r="D33" i="4"/>
  <c r="D36" i="4" s="1"/>
  <c r="C33" i="4"/>
  <c r="C36" i="4" s="1"/>
  <c r="C39" i="4" s="1"/>
  <c r="H32" i="4"/>
  <c r="G32" i="4"/>
  <c r="F32" i="4"/>
  <c r="E32" i="4"/>
  <c r="D32" i="4"/>
  <c r="C32" i="4"/>
  <c r="G15" i="4"/>
  <c r="G18" i="4" s="1"/>
  <c r="F15" i="4"/>
  <c r="F18" i="4" s="1"/>
  <c r="E15" i="4"/>
  <c r="E18" i="4" s="1"/>
  <c r="D15" i="4"/>
  <c r="D18" i="4" s="1"/>
  <c r="C15" i="4"/>
  <c r="C18" i="4" s="1"/>
  <c r="G14" i="4"/>
  <c r="G17" i="4" s="1"/>
  <c r="F14" i="4"/>
  <c r="F17" i="4" s="1"/>
  <c r="E14" i="4"/>
  <c r="E17" i="4" s="1"/>
  <c r="D14" i="4"/>
  <c r="D17" i="4" s="1"/>
  <c r="C14" i="4"/>
  <c r="C17" i="4" s="1"/>
  <c r="G13" i="4"/>
  <c r="G16" i="4" s="1"/>
  <c r="G19" i="4" s="1"/>
  <c r="F13" i="4"/>
  <c r="F16" i="4" s="1"/>
  <c r="E13" i="4"/>
  <c r="E16" i="4" s="1"/>
  <c r="E19" i="4" s="1"/>
  <c r="D13" i="4"/>
  <c r="D16" i="4" s="1"/>
  <c r="D19" i="4" s="1"/>
  <c r="C13" i="4"/>
  <c r="C16" i="4" s="1"/>
  <c r="C19" i="4" s="1"/>
  <c r="H12" i="4"/>
  <c r="G12" i="4"/>
  <c r="F12" i="4"/>
  <c r="E12" i="4"/>
  <c r="D12" i="4"/>
  <c r="C12" i="4"/>
  <c r="G195" i="7"/>
  <c r="G198" i="7" s="1"/>
  <c r="F195" i="7"/>
  <c r="F198" i="7" s="1"/>
  <c r="E195" i="7"/>
  <c r="E198" i="7" s="1"/>
  <c r="D195" i="7"/>
  <c r="D198" i="7" s="1"/>
  <c r="C195" i="7"/>
  <c r="C198" i="7" s="1"/>
  <c r="G194" i="7"/>
  <c r="G197" i="7" s="1"/>
  <c r="F194" i="7"/>
  <c r="F197" i="7" s="1"/>
  <c r="E194" i="7"/>
  <c r="E197" i="7" s="1"/>
  <c r="D194" i="7"/>
  <c r="D197" i="7" s="1"/>
  <c r="C194" i="7"/>
  <c r="C197" i="7" s="1"/>
  <c r="G193" i="7"/>
  <c r="G196" i="7" s="1"/>
  <c r="F193" i="7"/>
  <c r="F196" i="7" s="1"/>
  <c r="E193" i="7"/>
  <c r="E196" i="7" s="1"/>
  <c r="E199" i="7" s="1"/>
  <c r="D193" i="7"/>
  <c r="D196" i="7" s="1"/>
  <c r="D199" i="7" s="1"/>
  <c r="C193" i="7"/>
  <c r="C196" i="7" s="1"/>
  <c r="C199" i="7" s="1"/>
  <c r="H192" i="7"/>
  <c r="G192" i="7"/>
  <c r="F192" i="7"/>
  <c r="E192" i="7"/>
  <c r="D192" i="7"/>
  <c r="C192" i="7"/>
  <c r="G175" i="7"/>
  <c r="G178" i="7" s="1"/>
  <c r="F175" i="7"/>
  <c r="F178" i="7" s="1"/>
  <c r="E175" i="7"/>
  <c r="E178" i="7" s="1"/>
  <c r="D175" i="7"/>
  <c r="D178" i="7" s="1"/>
  <c r="C175" i="7"/>
  <c r="C178" i="7" s="1"/>
  <c r="G174" i="7"/>
  <c r="G177" i="7" s="1"/>
  <c r="F174" i="7"/>
  <c r="F177" i="7" s="1"/>
  <c r="E174" i="7"/>
  <c r="E177" i="7" s="1"/>
  <c r="D174" i="7"/>
  <c r="D177" i="7" s="1"/>
  <c r="C174" i="7"/>
  <c r="C177" i="7" s="1"/>
  <c r="G173" i="7"/>
  <c r="G176" i="7" s="1"/>
  <c r="F173" i="7"/>
  <c r="F176" i="7" s="1"/>
  <c r="E173" i="7"/>
  <c r="E176" i="7" s="1"/>
  <c r="E179" i="7" s="1"/>
  <c r="D173" i="7"/>
  <c r="D176" i="7" s="1"/>
  <c r="C173" i="7"/>
  <c r="C176" i="7" s="1"/>
  <c r="C179" i="7" s="1"/>
  <c r="H172" i="7"/>
  <c r="G172" i="7"/>
  <c r="F172" i="7"/>
  <c r="E172" i="7"/>
  <c r="D172" i="7"/>
  <c r="C172" i="7"/>
  <c r="F155" i="7"/>
  <c r="F158" i="7" s="1"/>
  <c r="E155" i="7"/>
  <c r="E158" i="7" s="1"/>
  <c r="D155" i="7"/>
  <c r="D158" i="7" s="1"/>
  <c r="C155" i="7"/>
  <c r="C158" i="7" s="1"/>
  <c r="F154" i="7"/>
  <c r="F157" i="7" s="1"/>
  <c r="E154" i="7"/>
  <c r="E157" i="7" s="1"/>
  <c r="D154" i="7"/>
  <c r="D157" i="7" s="1"/>
  <c r="C154" i="7"/>
  <c r="C157" i="7" s="1"/>
  <c r="F153" i="7"/>
  <c r="F156" i="7" s="1"/>
  <c r="F159" i="7" s="1"/>
  <c r="E153" i="7"/>
  <c r="E156" i="7" s="1"/>
  <c r="E159" i="7" s="1"/>
  <c r="D153" i="7"/>
  <c r="D156" i="7" s="1"/>
  <c r="D159" i="7" s="1"/>
  <c r="C153" i="7"/>
  <c r="C156" i="7" s="1"/>
  <c r="C159" i="7" s="1"/>
  <c r="F152" i="7"/>
  <c r="E152" i="7"/>
  <c r="D152" i="7"/>
  <c r="C152" i="7"/>
  <c r="G135" i="7"/>
  <c r="G138" i="7" s="1"/>
  <c r="F135" i="7"/>
  <c r="F138" i="7" s="1"/>
  <c r="E135" i="7"/>
  <c r="E138" i="7" s="1"/>
  <c r="D135" i="7"/>
  <c r="D138" i="7" s="1"/>
  <c r="C135" i="7"/>
  <c r="C138" i="7" s="1"/>
  <c r="G134" i="7"/>
  <c r="G137" i="7" s="1"/>
  <c r="F134" i="7"/>
  <c r="F137" i="7" s="1"/>
  <c r="E134" i="7"/>
  <c r="E137" i="7" s="1"/>
  <c r="D134" i="7"/>
  <c r="D137" i="7" s="1"/>
  <c r="C134" i="7"/>
  <c r="C137" i="7" s="1"/>
  <c r="G133" i="7"/>
  <c r="G136" i="7" s="1"/>
  <c r="F133" i="7"/>
  <c r="F136" i="7" s="1"/>
  <c r="E133" i="7"/>
  <c r="E136" i="7" s="1"/>
  <c r="D133" i="7"/>
  <c r="D136" i="7" s="1"/>
  <c r="C133" i="7"/>
  <c r="C136" i="7" s="1"/>
  <c r="H132" i="7"/>
  <c r="G132" i="7"/>
  <c r="F132" i="7"/>
  <c r="E132" i="7"/>
  <c r="D132" i="7"/>
  <c r="C132" i="7"/>
  <c r="G115" i="7"/>
  <c r="G118" i="7" s="1"/>
  <c r="F115" i="7"/>
  <c r="F118" i="7" s="1"/>
  <c r="E115" i="7"/>
  <c r="E118" i="7" s="1"/>
  <c r="D115" i="7"/>
  <c r="D118" i="7" s="1"/>
  <c r="C115" i="7"/>
  <c r="C118" i="7" s="1"/>
  <c r="G114" i="7"/>
  <c r="G117" i="7" s="1"/>
  <c r="F114" i="7"/>
  <c r="F117" i="7" s="1"/>
  <c r="E114" i="7"/>
  <c r="E117" i="7" s="1"/>
  <c r="D114" i="7"/>
  <c r="D117" i="7" s="1"/>
  <c r="C114" i="7"/>
  <c r="C117" i="7" s="1"/>
  <c r="G113" i="7"/>
  <c r="G116" i="7" s="1"/>
  <c r="G119" i="7" s="1"/>
  <c r="F113" i="7"/>
  <c r="F116" i="7" s="1"/>
  <c r="F119" i="7" s="1"/>
  <c r="E113" i="7"/>
  <c r="E116" i="7" s="1"/>
  <c r="E119" i="7" s="1"/>
  <c r="D113" i="7"/>
  <c r="D116" i="7" s="1"/>
  <c r="D119" i="7" s="1"/>
  <c r="C113" i="7"/>
  <c r="C116" i="7" s="1"/>
  <c r="C119" i="7" s="1"/>
  <c r="H112" i="7"/>
  <c r="G112" i="7"/>
  <c r="F112" i="7"/>
  <c r="E112" i="7"/>
  <c r="D112" i="7"/>
  <c r="C112" i="7"/>
  <c r="G95" i="7"/>
  <c r="G98" i="7" s="1"/>
  <c r="F95" i="7"/>
  <c r="F98" i="7" s="1"/>
  <c r="E95" i="7"/>
  <c r="E98" i="7" s="1"/>
  <c r="D95" i="7"/>
  <c r="D98" i="7" s="1"/>
  <c r="C95" i="7"/>
  <c r="C98" i="7" s="1"/>
  <c r="G94" i="7"/>
  <c r="G97" i="7" s="1"/>
  <c r="F94" i="7"/>
  <c r="F97" i="7" s="1"/>
  <c r="E94" i="7"/>
  <c r="E97" i="7" s="1"/>
  <c r="D94" i="7"/>
  <c r="D97" i="7" s="1"/>
  <c r="C94" i="7"/>
  <c r="C97" i="7" s="1"/>
  <c r="G93" i="7"/>
  <c r="G96" i="7" s="1"/>
  <c r="G99" i="7" s="1"/>
  <c r="F93" i="7"/>
  <c r="F96" i="7" s="1"/>
  <c r="F99" i="7" s="1"/>
  <c r="E93" i="7"/>
  <c r="E96" i="7" s="1"/>
  <c r="E99" i="7" s="1"/>
  <c r="D93" i="7"/>
  <c r="D96" i="7" s="1"/>
  <c r="D99" i="7" s="1"/>
  <c r="C93" i="7"/>
  <c r="C96" i="7" s="1"/>
  <c r="C99" i="7" s="1"/>
  <c r="H92" i="7"/>
  <c r="G92" i="7"/>
  <c r="F92" i="7"/>
  <c r="E92" i="7"/>
  <c r="D92" i="7"/>
  <c r="C92" i="7"/>
  <c r="G75" i="7"/>
  <c r="G78" i="7" s="1"/>
  <c r="F75" i="7"/>
  <c r="F78" i="7" s="1"/>
  <c r="E75" i="7"/>
  <c r="E78" i="7" s="1"/>
  <c r="D75" i="7"/>
  <c r="D78" i="7" s="1"/>
  <c r="C75" i="7"/>
  <c r="C78" i="7" s="1"/>
  <c r="G74" i="7"/>
  <c r="G77" i="7" s="1"/>
  <c r="F74" i="7"/>
  <c r="F77" i="7" s="1"/>
  <c r="E74" i="7"/>
  <c r="E77" i="7" s="1"/>
  <c r="D74" i="7"/>
  <c r="D77" i="7" s="1"/>
  <c r="C74" i="7"/>
  <c r="C77" i="7" s="1"/>
  <c r="G73" i="7"/>
  <c r="G76" i="7" s="1"/>
  <c r="F73" i="7"/>
  <c r="F76" i="7" s="1"/>
  <c r="E73" i="7"/>
  <c r="E76" i="7" s="1"/>
  <c r="D73" i="7"/>
  <c r="D76" i="7" s="1"/>
  <c r="C73" i="7"/>
  <c r="C76" i="7" s="1"/>
  <c r="H72" i="7"/>
  <c r="G72" i="7"/>
  <c r="F72" i="7"/>
  <c r="E72" i="7"/>
  <c r="D72" i="7"/>
  <c r="C72" i="7"/>
  <c r="G55" i="7"/>
  <c r="G58" i="7" s="1"/>
  <c r="F55" i="7"/>
  <c r="F58" i="7" s="1"/>
  <c r="E55" i="7"/>
  <c r="E58" i="7" s="1"/>
  <c r="D55" i="7"/>
  <c r="D58" i="7" s="1"/>
  <c r="C55" i="7"/>
  <c r="C58" i="7" s="1"/>
  <c r="G54" i="7"/>
  <c r="G57" i="7" s="1"/>
  <c r="F54" i="7"/>
  <c r="F57" i="7" s="1"/>
  <c r="E54" i="7"/>
  <c r="E57" i="7" s="1"/>
  <c r="D54" i="7"/>
  <c r="D57" i="7" s="1"/>
  <c r="C54" i="7"/>
  <c r="C57" i="7" s="1"/>
  <c r="G53" i="7"/>
  <c r="G56" i="7" s="1"/>
  <c r="G59" i="7" s="1"/>
  <c r="F53" i="7"/>
  <c r="F56" i="7" s="1"/>
  <c r="F59" i="7" s="1"/>
  <c r="E53" i="7"/>
  <c r="E56" i="7" s="1"/>
  <c r="E59" i="7" s="1"/>
  <c r="D53" i="7"/>
  <c r="D56" i="7" s="1"/>
  <c r="D59" i="7" s="1"/>
  <c r="C53" i="7"/>
  <c r="C56" i="7" s="1"/>
  <c r="C59" i="7" s="1"/>
  <c r="H52" i="7"/>
  <c r="G52" i="7"/>
  <c r="F52" i="7"/>
  <c r="E52" i="7"/>
  <c r="D52" i="7"/>
  <c r="C52" i="7"/>
  <c r="G35" i="7"/>
  <c r="G38" i="7" s="1"/>
  <c r="F35" i="7"/>
  <c r="F38" i="7" s="1"/>
  <c r="E35" i="7"/>
  <c r="E38" i="7" s="1"/>
  <c r="D35" i="7"/>
  <c r="D38" i="7" s="1"/>
  <c r="C35" i="7"/>
  <c r="C38" i="7" s="1"/>
  <c r="G34" i="7"/>
  <c r="G37" i="7" s="1"/>
  <c r="F34" i="7"/>
  <c r="F37" i="7" s="1"/>
  <c r="E34" i="7"/>
  <c r="E37" i="7" s="1"/>
  <c r="D34" i="7"/>
  <c r="D37" i="7" s="1"/>
  <c r="C34" i="7"/>
  <c r="C37" i="7" s="1"/>
  <c r="G33" i="7"/>
  <c r="G36" i="7" s="1"/>
  <c r="G39" i="7" s="1"/>
  <c r="F33" i="7"/>
  <c r="F36" i="7" s="1"/>
  <c r="F39" i="7" s="1"/>
  <c r="E33" i="7"/>
  <c r="E36" i="7" s="1"/>
  <c r="E39" i="7" s="1"/>
  <c r="D33" i="7"/>
  <c r="D36" i="7" s="1"/>
  <c r="D39" i="7" s="1"/>
  <c r="C33" i="7"/>
  <c r="C36" i="7" s="1"/>
  <c r="C39" i="7" s="1"/>
  <c r="H32" i="7"/>
  <c r="G32" i="7"/>
  <c r="F32" i="7"/>
  <c r="E32" i="7"/>
  <c r="D32" i="7"/>
  <c r="C32" i="7"/>
  <c r="C14" i="7"/>
  <c r="G15" i="7"/>
  <c r="G18" i="7" s="1"/>
  <c r="F15" i="7"/>
  <c r="F18" i="7" s="1"/>
  <c r="E15" i="7"/>
  <c r="E18" i="7" s="1"/>
  <c r="D15" i="7"/>
  <c r="D18" i="7" s="1"/>
  <c r="C15" i="7"/>
  <c r="C18" i="7" s="1"/>
  <c r="G14" i="7"/>
  <c r="G17" i="7" s="1"/>
  <c r="F14" i="7"/>
  <c r="F17" i="7" s="1"/>
  <c r="E14" i="7"/>
  <c r="E17" i="7" s="1"/>
  <c r="D14" i="7"/>
  <c r="D17" i="7" s="1"/>
  <c r="C17" i="7"/>
  <c r="G13" i="7"/>
  <c r="G16" i="7" s="1"/>
  <c r="G19" i="7" s="1"/>
  <c r="F13" i="7"/>
  <c r="F16" i="7" s="1"/>
  <c r="E13" i="7"/>
  <c r="E16" i="7" s="1"/>
  <c r="D13" i="7"/>
  <c r="D16" i="7" s="1"/>
  <c r="C13" i="7"/>
  <c r="C16" i="7" s="1"/>
  <c r="H12" i="7"/>
  <c r="G12" i="7"/>
  <c r="F12" i="7"/>
  <c r="E12" i="7"/>
  <c r="D12" i="7"/>
  <c r="C12" i="7"/>
  <c r="C195" i="1"/>
  <c r="C198" i="1" s="1"/>
  <c r="C194" i="1"/>
  <c r="C197" i="1" s="1"/>
  <c r="C193" i="1"/>
  <c r="C196" i="1" s="1"/>
  <c r="C192" i="1"/>
  <c r="G195" i="1"/>
  <c r="G198" i="1" s="1"/>
  <c r="F195" i="1"/>
  <c r="F198" i="1" s="1"/>
  <c r="E195" i="1"/>
  <c r="E198" i="1" s="1"/>
  <c r="D195" i="1"/>
  <c r="D198" i="1" s="1"/>
  <c r="G194" i="1"/>
  <c r="G197" i="1" s="1"/>
  <c r="F194" i="1"/>
  <c r="F197" i="1" s="1"/>
  <c r="E194" i="1"/>
  <c r="E197" i="1" s="1"/>
  <c r="D194" i="1"/>
  <c r="D197" i="1" s="1"/>
  <c r="G193" i="1"/>
  <c r="G196" i="1" s="1"/>
  <c r="F193" i="1"/>
  <c r="F196" i="1" s="1"/>
  <c r="F199" i="1" s="1"/>
  <c r="E193" i="1"/>
  <c r="E196" i="1" s="1"/>
  <c r="D193" i="1"/>
  <c r="D196" i="1" s="1"/>
  <c r="D199" i="1" s="1"/>
  <c r="H192" i="1"/>
  <c r="G192" i="1"/>
  <c r="F192" i="1"/>
  <c r="E192" i="1"/>
  <c r="D192" i="1"/>
  <c r="F175" i="1"/>
  <c r="F178" i="1" s="1"/>
  <c r="E175" i="1"/>
  <c r="E178" i="1" s="1"/>
  <c r="D175" i="1"/>
  <c r="D178" i="1" s="1"/>
  <c r="C175" i="1"/>
  <c r="C178" i="1" s="1"/>
  <c r="F174" i="1"/>
  <c r="F177" i="1" s="1"/>
  <c r="E174" i="1"/>
  <c r="E177" i="1" s="1"/>
  <c r="D174" i="1"/>
  <c r="D177" i="1" s="1"/>
  <c r="C174" i="1"/>
  <c r="C177" i="1" s="1"/>
  <c r="F173" i="1"/>
  <c r="F176" i="1" s="1"/>
  <c r="F179" i="1" s="1"/>
  <c r="E173" i="1"/>
  <c r="E176" i="1" s="1"/>
  <c r="E179" i="1" s="1"/>
  <c r="D173" i="1"/>
  <c r="D176" i="1" s="1"/>
  <c r="D179" i="1" s="1"/>
  <c r="C173" i="1"/>
  <c r="C176" i="1" s="1"/>
  <c r="C179" i="1" s="1"/>
  <c r="F172" i="1"/>
  <c r="E172" i="1"/>
  <c r="D172" i="1"/>
  <c r="C172" i="1"/>
  <c r="G155" i="1"/>
  <c r="G158" i="1" s="1"/>
  <c r="F155" i="1"/>
  <c r="F158" i="1" s="1"/>
  <c r="E155" i="1"/>
  <c r="E158" i="1" s="1"/>
  <c r="D155" i="1"/>
  <c r="D158" i="1" s="1"/>
  <c r="C155" i="1"/>
  <c r="C158" i="1" s="1"/>
  <c r="G154" i="1"/>
  <c r="G157" i="1" s="1"/>
  <c r="F154" i="1"/>
  <c r="F157" i="1" s="1"/>
  <c r="E154" i="1"/>
  <c r="E157" i="1" s="1"/>
  <c r="D154" i="1"/>
  <c r="D157" i="1" s="1"/>
  <c r="C154" i="1"/>
  <c r="C157" i="1" s="1"/>
  <c r="G153" i="1"/>
  <c r="G156" i="1" s="1"/>
  <c r="F153" i="1"/>
  <c r="F156" i="1" s="1"/>
  <c r="E153" i="1"/>
  <c r="E156" i="1" s="1"/>
  <c r="D153" i="1"/>
  <c r="D156" i="1" s="1"/>
  <c r="C153" i="1"/>
  <c r="C156" i="1" s="1"/>
  <c r="C159" i="1" s="1"/>
  <c r="H152" i="1"/>
  <c r="G152" i="1"/>
  <c r="F152" i="1"/>
  <c r="E152" i="1"/>
  <c r="D152" i="1"/>
  <c r="C152" i="1"/>
  <c r="G135" i="1"/>
  <c r="G138" i="1" s="1"/>
  <c r="F135" i="1"/>
  <c r="F138" i="1" s="1"/>
  <c r="E135" i="1"/>
  <c r="E138" i="1" s="1"/>
  <c r="D135" i="1"/>
  <c r="D138" i="1" s="1"/>
  <c r="C135" i="1"/>
  <c r="C138" i="1" s="1"/>
  <c r="G134" i="1"/>
  <c r="G137" i="1" s="1"/>
  <c r="F134" i="1"/>
  <c r="F137" i="1" s="1"/>
  <c r="E134" i="1"/>
  <c r="E137" i="1" s="1"/>
  <c r="D134" i="1"/>
  <c r="D137" i="1" s="1"/>
  <c r="C134" i="1"/>
  <c r="C137" i="1" s="1"/>
  <c r="G133" i="1"/>
  <c r="G136" i="1" s="1"/>
  <c r="F133" i="1"/>
  <c r="F136" i="1" s="1"/>
  <c r="F139" i="1" s="1"/>
  <c r="E133" i="1"/>
  <c r="E136" i="1" s="1"/>
  <c r="E139" i="1" s="1"/>
  <c r="D133" i="1"/>
  <c r="D136" i="1" s="1"/>
  <c r="D139" i="1" s="1"/>
  <c r="C133" i="1"/>
  <c r="C136" i="1" s="1"/>
  <c r="C139" i="1" s="1"/>
  <c r="H132" i="1"/>
  <c r="G132" i="1"/>
  <c r="F132" i="1"/>
  <c r="E132" i="1"/>
  <c r="D132" i="1"/>
  <c r="C132" i="1"/>
  <c r="G115" i="1"/>
  <c r="G118" i="1" s="1"/>
  <c r="F115" i="1"/>
  <c r="F118" i="1" s="1"/>
  <c r="E115" i="1"/>
  <c r="E118" i="1" s="1"/>
  <c r="D115" i="1"/>
  <c r="D118" i="1" s="1"/>
  <c r="C115" i="1"/>
  <c r="C118" i="1" s="1"/>
  <c r="G114" i="1"/>
  <c r="G117" i="1" s="1"/>
  <c r="F114" i="1"/>
  <c r="F117" i="1" s="1"/>
  <c r="E114" i="1"/>
  <c r="E117" i="1" s="1"/>
  <c r="D114" i="1"/>
  <c r="D117" i="1" s="1"/>
  <c r="C114" i="1"/>
  <c r="C117" i="1" s="1"/>
  <c r="G113" i="1"/>
  <c r="G116" i="1" s="1"/>
  <c r="F113" i="1"/>
  <c r="F116" i="1" s="1"/>
  <c r="E113" i="1"/>
  <c r="E116" i="1" s="1"/>
  <c r="D113" i="1"/>
  <c r="D116" i="1" s="1"/>
  <c r="C113" i="1"/>
  <c r="C116" i="1" s="1"/>
  <c r="H112" i="1"/>
  <c r="G112" i="1"/>
  <c r="F112" i="1"/>
  <c r="E112" i="1"/>
  <c r="D112" i="1"/>
  <c r="C112" i="1"/>
  <c r="G95" i="1"/>
  <c r="G98" i="1" s="1"/>
  <c r="F95" i="1"/>
  <c r="F98" i="1" s="1"/>
  <c r="E95" i="1"/>
  <c r="E98" i="1" s="1"/>
  <c r="D95" i="1"/>
  <c r="D98" i="1" s="1"/>
  <c r="C95" i="1"/>
  <c r="C98" i="1" s="1"/>
  <c r="G94" i="1"/>
  <c r="G97" i="1" s="1"/>
  <c r="F94" i="1"/>
  <c r="F97" i="1" s="1"/>
  <c r="E94" i="1"/>
  <c r="E97" i="1" s="1"/>
  <c r="D94" i="1"/>
  <c r="D97" i="1" s="1"/>
  <c r="C94" i="1"/>
  <c r="C97" i="1" s="1"/>
  <c r="G93" i="1"/>
  <c r="G96" i="1" s="1"/>
  <c r="G99" i="1" s="1"/>
  <c r="F93" i="1"/>
  <c r="F96" i="1" s="1"/>
  <c r="F99" i="1" s="1"/>
  <c r="E93" i="1"/>
  <c r="E96" i="1" s="1"/>
  <c r="E99" i="1" s="1"/>
  <c r="D93" i="1"/>
  <c r="D96" i="1" s="1"/>
  <c r="D99" i="1" s="1"/>
  <c r="C93" i="1"/>
  <c r="C96" i="1" s="1"/>
  <c r="H92" i="1"/>
  <c r="G92" i="1"/>
  <c r="F92" i="1"/>
  <c r="E92" i="1"/>
  <c r="D92" i="1"/>
  <c r="C92" i="1"/>
  <c r="G75" i="1"/>
  <c r="G78" i="1" s="1"/>
  <c r="F75" i="1"/>
  <c r="F78" i="1" s="1"/>
  <c r="E75" i="1"/>
  <c r="E78" i="1" s="1"/>
  <c r="D75" i="1"/>
  <c r="D78" i="1" s="1"/>
  <c r="C75" i="1"/>
  <c r="C78" i="1" s="1"/>
  <c r="G74" i="1"/>
  <c r="G77" i="1" s="1"/>
  <c r="F74" i="1"/>
  <c r="F77" i="1" s="1"/>
  <c r="E74" i="1"/>
  <c r="E77" i="1" s="1"/>
  <c r="D74" i="1"/>
  <c r="D77" i="1" s="1"/>
  <c r="C74" i="1"/>
  <c r="C77" i="1" s="1"/>
  <c r="G73" i="1"/>
  <c r="G76" i="1" s="1"/>
  <c r="F73" i="1"/>
  <c r="F76" i="1" s="1"/>
  <c r="E73" i="1"/>
  <c r="E76" i="1" s="1"/>
  <c r="D73" i="1"/>
  <c r="D76" i="1" s="1"/>
  <c r="C73" i="1"/>
  <c r="C76" i="1" s="1"/>
  <c r="H72" i="1"/>
  <c r="G72" i="1"/>
  <c r="F72" i="1"/>
  <c r="E72" i="1"/>
  <c r="D72" i="1"/>
  <c r="C72" i="1"/>
  <c r="C54" i="1"/>
  <c r="C57" i="1" s="1"/>
  <c r="G53" i="1"/>
  <c r="G56" i="1" s="1"/>
  <c r="G55" i="1"/>
  <c r="G58" i="1" s="1"/>
  <c r="F55" i="1"/>
  <c r="F58" i="1" s="1"/>
  <c r="E55" i="1"/>
  <c r="E58" i="1" s="1"/>
  <c r="D55" i="1"/>
  <c r="D58" i="1" s="1"/>
  <c r="C55" i="1"/>
  <c r="C58" i="1" s="1"/>
  <c r="G54" i="1"/>
  <c r="G57" i="1" s="1"/>
  <c r="G59" i="1" s="1"/>
  <c r="F54" i="1"/>
  <c r="F57" i="1" s="1"/>
  <c r="E54" i="1"/>
  <c r="E57" i="1" s="1"/>
  <c r="D54" i="1"/>
  <c r="D57" i="1" s="1"/>
  <c r="F53" i="1"/>
  <c r="F56" i="1" s="1"/>
  <c r="F59" i="1" s="1"/>
  <c r="E53" i="1"/>
  <c r="E56" i="1" s="1"/>
  <c r="E59" i="1" s="1"/>
  <c r="D53" i="1"/>
  <c r="D56" i="1" s="1"/>
  <c r="D59" i="1" s="1"/>
  <c r="C53" i="1"/>
  <c r="C56" i="1" s="1"/>
  <c r="H52" i="1"/>
  <c r="G52" i="1"/>
  <c r="F52" i="1"/>
  <c r="E52" i="1"/>
  <c r="D52" i="1"/>
  <c r="C52" i="1"/>
  <c r="C34" i="1"/>
  <c r="C37" i="1" s="1"/>
  <c r="C33" i="1"/>
  <c r="C36" i="1" s="1"/>
  <c r="G35" i="1"/>
  <c r="G38" i="1" s="1"/>
  <c r="F35" i="1"/>
  <c r="F38" i="1" s="1"/>
  <c r="E35" i="1"/>
  <c r="E38" i="1" s="1"/>
  <c r="D35" i="1"/>
  <c r="D38" i="1" s="1"/>
  <c r="C35" i="1"/>
  <c r="C38" i="1" s="1"/>
  <c r="G34" i="1"/>
  <c r="G37" i="1" s="1"/>
  <c r="F34" i="1"/>
  <c r="F37" i="1" s="1"/>
  <c r="E34" i="1"/>
  <c r="E37" i="1" s="1"/>
  <c r="D34" i="1"/>
  <c r="D37" i="1" s="1"/>
  <c r="G33" i="1"/>
  <c r="G36" i="1" s="1"/>
  <c r="F33" i="1"/>
  <c r="F36" i="1" s="1"/>
  <c r="E33" i="1"/>
  <c r="E36" i="1" s="1"/>
  <c r="D33" i="1"/>
  <c r="D36" i="1" s="1"/>
  <c r="H32" i="1"/>
  <c r="G32" i="1"/>
  <c r="F32" i="1"/>
  <c r="E32" i="1"/>
  <c r="D32" i="1"/>
  <c r="C32" i="1"/>
  <c r="C15" i="1"/>
  <c r="C18" i="1" s="1"/>
  <c r="C14" i="1"/>
  <c r="C17" i="1" s="1"/>
  <c r="D13" i="1"/>
  <c r="C13" i="1"/>
  <c r="C16" i="1" s="1"/>
  <c r="C19" i="1" s="1"/>
  <c r="C12" i="1"/>
  <c r="D16" i="1"/>
  <c r="D14" i="1"/>
  <c r="D17" i="1" s="1"/>
  <c r="E14" i="1"/>
  <c r="E17" i="1" s="1"/>
  <c r="F14" i="1"/>
  <c r="F17" i="1" s="1"/>
  <c r="G14" i="1"/>
  <c r="G17" i="1" s="1"/>
  <c r="D15" i="1"/>
  <c r="D18" i="1" s="1"/>
  <c r="E15" i="1"/>
  <c r="E18" i="1" s="1"/>
  <c r="F15" i="1"/>
  <c r="F18" i="1" s="1"/>
  <c r="G15" i="1"/>
  <c r="G18" i="1" s="1"/>
  <c r="H12" i="1"/>
  <c r="H203" i="1" s="1"/>
  <c r="G13" i="1"/>
  <c r="G16" i="1" s="1"/>
  <c r="F13" i="1"/>
  <c r="F16" i="1" s="1"/>
  <c r="E13" i="1"/>
  <c r="E16" i="1" s="1"/>
  <c r="D12" i="1"/>
  <c r="D203" i="1" s="1"/>
  <c r="E12" i="1"/>
  <c r="E203" i="1" s="1"/>
  <c r="F12" i="1"/>
  <c r="F203" i="1" s="1"/>
  <c r="G12" i="1"/>
  <c r="G203" i="1" s="1"/>
  <c r="H164" i="6"/>
  <c r="H144" i="6"/>
  <c r="H184" i="5"/>
  <c r="H124" i="5"/>
  <c r="H104" i="5"/>
  <c r="H164" i="5"/>
  <c r="H144" i="5"/>
  <c r="H84" i="5"/>
  <c r="H4" i="5"/>
  <c r="H124" i="4"/>
  <c r="H164" i="4"/>
  <c r="H24" i="4"/>
  <c r="H184" i="7"/>
  <c r="H164" i="7"/>
  <c r="H124" i="7"/>
  <c r="H104" i="7"/>
  <c r="H84" i="7"/>
  <c r="G84" i="7"/>
  <c r="H64" i="7"/>
  <c r="H44" i="7"/>
  <c r="H4" i="7"/>
  <c r="H184" i="1"/>
  <c r="H144" i="1"/>
  <c r="H124" i="1"/>
  <c r="H104" i="1"/>
  <c r="H84" i="1"/>
  <c r="H64" i="1"/>
  <c r="H44" i="1"/>
  <c r="H24" i="1"/>
  <c r="F7" i="9" l="1"/>
  <c r="G139" i="1"/>
  <c r="C99" i="1"/>
  <c r="C59" i="1"/>
  <c r="G199" i="1"/>
  <c r="E159" i="6"/>
  <c r="F159" i="6"/>
  <c r="F179" i="6"/>
  <c r="C199" i="6"/>
  <c r="G139" i="6"/>
  <c r="E199" i="6"/>
  <c r="C79" i="6"/>
  <c r="G179" i="6"/>
  <c r="C159" i="6"/>
  <c r="D79" i="6"/>
  <c r="G199" i="6"/>
  <c r="F199" i="6"/>
  <c r="G79" i="6"/>
  <c r="F79" i="6"/>
  <c r="E79" i="6"/>
  <c r="E179" i="6"/>
  <c r="D99" i="6"/>
  <c r="D179" i="5"/>
  <c r="G159" i="5"/>
  <c r="D199" i="5"/>
  <c r="C99" i="5"/>
  <c r="G199" i="5"/>
  <c r="E179" i="5"/>
  <c r="D99" i="5"/>
  <c r="F199" i="5"/>
  <c r="G179" i="5"/>
  <c r="C179" i="5"/>
  <c r="D39" i="5"/>
  <c r="E99" i="5"/>
  <c r="C19" i="5"/>
  <c r="E199" i="5"/>
  <c r="G99" i="5"/>
  <c r="F99" i="5"/>
  <c r="E39" i="5"/>
  <c r="C199" i="5"/>
  <c r="G19" i="5"/>
  <c r="C59" i="5"/>
  <c r="E19" i="5"/>
  <c r="D199" i="4"/>
  <c r="F19" i="4"/>
  <c r="D39" i="4"/>
  <c r="F119" i="4"/>
  <c r="G119" i="4"/>
  <c r="G39" i="4"/>
  <c r="F39" i="4"/>
  <c r="E39" i="4"/>
  <c r="F199" i="4"/>
  <c r="F199" i="7"/>
  <c r="D179" i="7"/>
  <c r="G199" i="7"/>
  <c r="F179" i="7"/>
  <c r="F19" i="7"/>
  <c r="E19" i="7"/>
  <c r="D19" i="7"/>
  <c r="C19" i="7"/>
  <c r="G139" i="7"/>
  <c r="F139" i="7"/>
  <c r="E139" i="7"/>
  <c r="D139" i="7"/>
  <c r="C139" i="7"/>
  <c r="G79" i="7"/>
  <c r="F79" i="7"/>
  <c r="E79" i="7"/>
  <c r="D79" i="7"/>
  <c r="C79" i="7"/>
  <c r="G179" i="7"/>
  <c r="C199" i="1"/>
  <c r="G159" i="1"/>
  <c r="F159" i="1"/>
  <c r="E159" i="1"/>
  <c r="D159" i="1"/>
  <c r="C210" i="1"/>
  <c r="G119" i="1"/>
  <c r="F119" i="1"/>
  <c r="E119" i="1"/>
  <c r="D119" i="1"/>
  <c r="C119" i="1"/>
  <c r="G79" i="1"/>
  <c r="F79" i="1"/>
  <c r="E79" i="1"/>
  <c r="D79" i="1"/>
  <c r="C79" i="1"/>
  <c r="E39" i="1"/>
  <c r="E199" i="1"/>
  <c r="G39" i="1"/>
  <c r="F39" i="1"/>
  <c r="C39" i="1"/>
  <c r="G19" i="1"/>
  <c r="F19" i="1"/>
  <c r="E19" i="1"/>
  <c r="D39" i="1"/>
  <c r="D19" i="1"/>
  <c r="C7" i="9" l="1"/>
  <c r="C14" i="9"/>
  <c r="F204" i="1"/>
  <c r="E204" i="1"/>
  <c r="D204" i="1"/>
  <c r="G204" i="1"/>
  <c r="C204" i="1"/>
  <c r="C3" i="9" s="1"/>
</calcChain>
</file>

<file path=xl/sharedStrings.xml><?xml version="1.0" encoding="utf-8"?>
<sst xmlns="http://schemas.openxmlformats.org/spreadsheetml/2006/main" count="1774" uniqueCount="134">
  <si>
    <t>FY25</t>
  </si>
  <si>
    <t>FY24</t>
  </si>
  <si>
    <t>FY23</t>
  </si>
  <si>
    <t>FY22</t>
  </si>
  <si>
    <t>FY21</t>
  </si>
  <si>
    <t>Inventory</t>
  </si>
  <si>
    <t xml:space="preserve">Trade Receivables </t>
  </si>
  <si>
    <t>Trade Payables</t>
  </si>
  <si>
    <t>Net Revenue from Operations</t>
  </si>
  <si>
    <t>HUL</t>
  </si>
  <si>
    <t>Figures (In Crores)</t>
  </si>
  <si>
    <t xml:space="preserve">COGS </t>
  </si>
  <si>
    <t>FY20</t>
  </si>
  <si>
    <t>NESTLE INDIA LTD</t>
  </si>
  <si>
    <t>VARUN BEVRAGES LTD</t>
  </si>
  <si>
    <t>CY25</t>
  </si>
  <si>
    <t>CY24</t>
  </si>
  <si>
    <t>CY23</t>
  </si>
  <si>
    <t>CY22</t>
  </si>
  <si>
    <t>CY21</t>
  </si>
  <si>
    <t>CY20</t>
  </si>
  <si>
    <t>BRITANNIA INDUSTRIES LTD</t>
  </si>
  <si>
    <t>RADICO KHAITAN</t>
  </si>
  <si>
    <t>ONGC</t>
  </si>
  <si>
    <t>GAIL</t>
  </si>
  <si>
    <t>Devyani International</t>
  </si>
  <si>
    <t>Bajaj Hindusthan Sugar</t>
  </si>
  <si>
    <t>KRBL</t>
  </si>
  <si>
    <t>Current Assets</t>
  </si>
  <si>
    <t>Current Liability</t>
  </si>
  <si>
    <t>ITC LIMITED</t>
  </si>
  <si>
    <t>TATA MOTORS</t>
  </si>
  <si>
    <t>MAHINDRA AND MAHINDRA</t>
  </si>
  <si>
    <t>MARUTI SUZUKI INDIA</t>
  </si>
  <si>
    <t xml:space="preserve">SAMVARDHANA MOTHERSON INTERNATIONAL </t>
  </si>
  <si>
    <t>HYUNDAI MOTOR INDIA</t>
  </si>
  <si>
    <t>SKF INDIA</t>
  </si>
  <si>
    <t>MINDA CORPORATION</t>
  </si>
  <si>
    <t>ASAHI INDIA GLASS</t>
  </si>
  <si>
    <t>WHEELS INDIA</t>
  </si>
  <si>
    <t>INDIAN OIL CORPORATION</t>
  </si>
  <si>
    <t>JAIPRAKASH POWER VENTURES</t>
  </si>
  <si>
    <t>TRANSRAIL LIGHTING</t>
  </si>
  <si>
    <t>ADANI TOTAL GAS</t>
  </si>
  <si>
    <t>HINDALCO INDUSTRIES</t>
  </si>
  <si>
    <t>TATA STEEL LTD</t>
  </si>
  <si>
    <t>JSW STEEL</t>
  </si>
  <si>
    <t>STEEL AUTHORITY OF INDIA</t>
  </si>
  <si>
    <t>RATNAMANI METALS AND TUBES</t>
  </si>
  <si>
    <t>SARDA ENERGY AND MINERALS</t>
  </si>
  <si>
    <t>SUN PHARMACEUTICALS INDUSTRIES</t>
  </si>
  <si>
    <t>DR REDDY'S LABORATORIES</t>
  </si>
  <si>
    <t>AUROBINDO PHARMA</t>
  </si>
  <si>
    <t>CIPLA</t>
  </si>
  <si>
    <t>ZYDUS LIFESCIENCES</t>
  </si>
  <si>
    <t>NATCO PHARMA</t>
  </si>
  <si>
    <t>AJANTA PHARMA</t>
  </si>
  <si>
    <t>RELIANCE INDUSTRIES (sa)</t>
  </si>
  <si>
    <t>Petronet LNG</t>
  </si>
  <si>
    <t>Bharat Petroleum Corporation</t>
  </si>
  <si>
    <t>PREMIER ENERGIES</t>
  </si>
  <si>
    <t>VEDANTA LTD</t>
  </si>
  <si>
    <t>MUKAND LTD</t>
  </si>
  <si>
    <t>GODAWARI POWER AND ISPAT LTD</t>
  </si>
  <si>
    <t>MAHARASHTRA SEAMLESS LTD</t>
  </si>
  <si>
    <t>INDUSTRY/SECTOR NAME</t>
  </si>
  <si>
    <t>FMCG</t>
  </si>
  <si>
    <t>AUTOMOTIVE</t>
  </si>
  <si>
    <t>ENERGY</t>
  </si>
  <si>
    <t>METALS</t>
  </si>
  <si>
    <t>PHARMA</t>
  </si>
  <si>
    <t>ABBOTT INDIA LTD</t>
  </si>
  <si>
    <t>GLAND PHARMA LTD</t>
  </si>
  <si>
    <t>LAURUS LABS LTD</t>
  </si>
  <si>
    <t>TENNECO CLEAN AIR INDIA LTD</t>
  </si>
  <si>
    <t>HINDUSTAN UNILEVER LTD</t>
  </si>
  <si>
    <t>ITC LTD</t>
  </si>
  <si>
    <t>VARUN BEVERAGES LTD</t>
  </si>
  <si>
    <t>COMPANY NAME (TOP 5)</t>
  </si>
  <si>
    <t>COMPANY NAME (BOTTOM 5)</t>
  </si>
  <si>
    <t>GODFREY PHILLIPS INDIA</t>
  </si>
  <si>
    <t>GODFREY PHILLIPS INDIA LTD</t>
  </si>
  <si>
    <t>BAJAJ HINDUSTHAN SUGAR LTD</t>
  </si>
  <si>
    <t>KRBL LTD</t>
  </si>
  <si>
    <t>DEVYANI INTERNATIONAL LTD</t>
  </si>
  <si>
    <t>RADICO KHAITAN LTD</t>
  </si>
  <si>
    <t>RELIANCE INDUSTRIES LTD</t>
  </si>
  <si>
    <t xml:space="preserve">INDIAN OIL CORPORATION </t>
  </si>
  <si>
    <t>BHARAT PETROLEUM CORPORATION</t>
  </si>
  <si>
    <t xml:space="preserve">GAIL </t>
  </si>
  <si>
    <t>PETRONET LNG</t>
  </si>
  <si>
    <t xml:space="preserve">PREMIER ENERGY </t>
  </si>
  <si>
    <t>HINDALCO INDUSTRIES LTD</t>
  </si>
  <si>
    <t>ANALYSIS PART</t>
  </si>
  <si>
    <t>WORKING CAPITAL</t>
  </si>
  <si>
    <t>CURRENT ASSETS - CURRENT LIABILITY</t>
  </si>
  <si>
    <t>AVERAGE INVENTORY</t>
  </si>
  <si>
    <t>AVERAGE RECEIVABLES</t>
  </si>
  <si>
    <t>AVERAGE PAYABLES</t>
  </si>
  <si>
    <t>(Average Inventory / COGS)*365</t>
  </si>
  <si>
    <t>(Average Receivables / Revenue)*365</t>
  </si>
  <si>
    <t>(Average Payables / COGS)*365</t>
  </si>
  <si>
    <t>(Opening Payables + Closing Payables)/2</t>
  </si>
  <si>
    <t>(Opening Inventory + Closing Inventory)/2</t>
  </si>
  <si>
    <t>(Opening Receivables + Closing Receivables)/2</t>
  </si>
  <si>
    <t>DAYS INVENTORY OUTSTANDING (DIO) (In Days)</t>
  </si>
  <si>
    <t>DAYS SALES OUTSTANDING (DSO) (In Days)</t>
  </si>
  <si>
    <t>DAYS PAYABLE OUTSTANDING (DPO) (In Days)</t>
  </si>
  <si>
    <t>DIO + DSO - DPO</t>
  </si>
  <si>
    <t>CASH CONVERSION CYCLE (CCC) (In Days)</t>
  </si>
  <si>
    <t>AVERAGE WORKING CAPITAL</t>
  </si>
  <si>
    <t>AVERAGE WORKING CAPITAL (TOP 5)</t>
  </si>
  <si>
    <t>AVERAGE WORKING CAPITAL (BOTTOM 5)</t>
  </si>
  <si>
    <t>AVERAGE CCC (TOP 5)</t>
  </si>
  <si>
    <t>AVERAGE CCC (BOTTOM 5)</t>
  </si>
  <si>
    <t>TOP 5 ANALYSIS</t>
  </si>
  <si>
    <t>BOTTOM 5 ANALYSIS</t>
  </si>
  <si>
    <t>AVERAGE WORKING CAPITAL (FMCG)</t>
  </si>
  <si>
    <t>AVERAGE CCC (FMCG)</t>
  </si>
  <si>
    <t>ALL COMPANY (FMCG)</t>
  </si>
  <si>
    <t xml:space="preserve">AVERAGE CCC </t>
  </si>
  <si>
    <t xml:space="preserve">AVERAGE WORKING CAPITAL </t>
  </si>
  <si>
    <t>10 COMPANY (AUTOMOTIVE)</t>
  </si>
  <si>
    <t>10 COMPANY (ENERGY)</t>
  </si>
  <si>
    <t>10 COMPANY (METALS)</t>
  </si>
  <si>
    <t>AVERAGE WORKING CAPITAL (ALL 10)</t>
  </si>
  <si>
    <t>AVERAGE CCC (ALL 10)</t>
  </si>
  <si>
    <t>TOP 5 AVERAGE WORKING CAPITAL</t>
  </si>
  <si>
    <t>BOTTOM 5 AVERAGE WORKING CAPITAL</t>
  </si>
  <si>
    <t>TOP 5 AVERAGE CCC</t>
  </si>
  <si>
    <t>BOTTOM 5 AVERAGE CCC</t>
  </si>
  <si>
    <t xml:space="preserve">ENERGY </t>
  </si>
  <si>
    <t xml:space="preserve">TYPE 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</si>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</sst>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B75B-F2A1-4E63-8826-C0DCCCD2617C}">
  <dimension ref="A1:C26"/>
  <sheetViews>
    <sheetView view="pageBreakPreview" zoomScale="60" zoomScaleNormal="100" workbookViewId="0">
      <selection activeCell="B19" sqref="B19"/>
    </sheetView>
  </sheetViews>
  <sheetFormatPr defaultRowHeight="14.4" x14ac:dyDescent="0.3"/>
  <cols>
    <col min="1" max="1" width="22.5546875" style="4" bestFit="1" customWidth="1"/>
    <col min="2" max="2" width="40.6640625" style="3" bestFit="1" customWidth="1"/>
    <col min="3" max="3" width="37.21875" style="3" customWidth="1"/>
    <col min="4" max="16384" width="8.88671875" style="3"/>
  </cols>
  <sheetData>
    <row r="1" spans="1:3" x14ac:dyDescent="0.3">
      <c r="A1" s="16" t="s">
        <v>65</v>
      </c>
      <c r="B1" s="16" t="s">
        <v>78</v>
      </c>
      <c r="C1" s="16" t="s">
        <v>79</v>
      </c>
    </row>
    <row r="2" spans="1:3" x14ac:dyDescent="0.3">
      <c r="A2" s="27" t="s">
        <v>66</v>
      </c>
      <c r="B2" s="17" t="s">
        <v>75</v>
      </c>
      <c r="C2" s="18" t="s">
        <v>81</v>
      </c>
    </row>
    <row r="3" spans="1:3" x14ac:dyDescent="0.3">
      <c r="A3" s="28"/>
      <c r="B3" s="3" t="s">
        <v>76</v>
      </c>
      <c r="C3" s="19" t="s">
        <v>83</v>
      </c>
    </row>
    <row r="4" spans="1:3" x14ac:dyDescent="0.3">
      <c r="A4" s="28"/>
      <c r="B4" s="3" t="s">
        <v>13</v>
      </c>
      <c r="C4" s="19" t="s">
        <v>82</v>
      </c>
    </row>
    <row r="5" spans="1:3" x14ac:dyDescent="0.3">
      <c r="A5" s="28"/>
      <c r="B5" s="3" t="s">
        <v>77</v>
      </c>
      <c r="C5" s="19" t="s">
        <v>84</v>
      </c>
    </row>
    <row r="6" spans="1:3" ht="26.4" customHeight="1" x14ac:dyDescent="0.3">
      <c r="A6" s="29"/>
      <c r="B6" s="20" t="s">
        <v>21</v>
      </c>
      <c r="C6" s="21" t="s">
        <v>85</v>
      </c>
    </row>
    <row r="7" spans="1:3" x14ac:dyDescent="0.3">
      <c r="A7" s="27" t="s">
        <v>67</v>
      </c>
      <c r="B7" s="17" t="s">
        <v>31</v>
      </c>
      <c r="C7" s="18" t="s">
        <v>36</v>
      </c>
    </row>
    <row r="8" spans="1:3" x14ac:dyDescent="0.3">
      <c r="A8" s="28"/>
      <c r="B8" s="3" t="s">
        <v>32</v>
      </c>
      <c r="C8" s="19" t="s">
        <v>37</v>
      </c>
    </row>
    <row r="9" spans="1:3" x14ac:dyDescent="0.3">
      <c r="A9" s="28"/>
      <c r="B9" s="3" t="s">
        <v>33</v>
      </c>
      <c r="C9" s="19" t="s">
        <v>74</v>
      </c>
    </row>
    <row r="10" spans="1:3" x14ac:dyDescent="0.3">
      <c r="A10" s="28"/>
      <c r="B10" s="3" t="s">
        <v>34</v>
      </c>
      <c r="C10" s="19" t="s">
        <v>38</v>
      </c>
    </row>
    <row r="11" spans="1:3" ht="27" customHeight="1" x14ac:dyDescent="0.3">
      <c r="A11" s="29"/>
      <c r="B11" s="20" t="s">
        <v>35</v>
      </c>
      <c r="C11" s="21" t="s">
        <v>39</v>
      </c>
    </row>
    <row r="12" spans="1:3" x14ac:dyDescent="0.3">
      <c r="A12" s="27" t="s">
        <v>68</v>
      </c>
      <c r="B12" s="17" t="s">
        <v>86</v>
      </c>
      <c r="C12" s="18" t="s">
        <v>90</v>
      </c>
    </row>
    <row r="13" spans="1:3" x14ac:dyDescent="0.3">
      <c r="A13" s="28"/>
      <c r="B13" s="3" t="s">
        <v>87</v>
      </c>
      <c r="C13" s="19" t="s">
        <v>91</v>
      </c>
    </row>
    <row r="14" spans="1:3" x14ac:dyDescent="0.3">
      <c r="A14" s="28"/>
      <c r="B14" s="3" t="s">
        <v>88</v>
      </c>
      <c r="C14" s="19" t="s">
        <v>41</v>
      </c>
    </row>
    <row r="15" spans="1:3" x14ac:dyDescent="0.3">
      <c r="A15" s="28"/>
      <c r="B15" s="3" t="s">
        <v>23</v>
      </c>
      <c r="C15" s="19" t="s">
        <v>42</v>
      </c>
    </row>
    <row r="16" spans="1:3" ht="26.4" customHeight="1" x14ac:dyDescent="0.3">
      <c r="A16" s="29"/>
      <c r="B16" s="20" t="s">
        <v>89</v>
      </c>
      <c r="C16" s="21" t="s">
        <v>43</v>
      </c>
    </row>
    <row r="17" spans="1:3" x14ac:dyDescent="0.3">
      <c r="A17" s="27" t="s">
        <v>69</v>
      </c>
      <c r="B17" s="17" t="s">
        <v>92</v>
      </c>
      <c r="C17" s="18" t="s">
        <v>63</v>
      </c>
    </row>
    <row r="18" spans="1:3" x14ac:dyDescent="0.3">
      <c r="A18" s="28"/>
      <c r="B18" s="3" t="s">
        <v>45</v>
      </c>
      <c r="C18" s="19" t="s">
        <v>64</v>
      </c>
    </row>
    <row r="19" spans="1:3" x14ac:dyDescent="0.3">
      <c r="A19" s="28"/>
      <c r="B19" s="3" t="s">
        <v>46</v>
      </c>
      <c r="C19" s="19" t="s">
        <v>48</v>
      </c>
    </row>
    <row r="20" spans="1:3" x14ac:dyDescent="0.3">
      <c r="A20" s="28"/>
      <c r="B20" s="3" t="s">
        <v>61</v>
      </c>
      <c r="C20" s="19" t="s">
        <v>62</v>
      </c>
    </row>
    <row r="21" spans="1:3" ht="24.6" customHeight="1" x14ac:dyDescent="0.3">
      <c r="A21" s="29"/>
      <c r="B21" s="20" t="s">
        <v>47</v>
      </c>
      <c r="C21" s="21" t="s">
        <v>49</v>
      </c>
    </row>
    <row r="22" spans="1:3" x14ac:dyDescent="0.3">
      <c r="A22" s="27" t="s">
        <v>70</v>
      </c>
      <c r="B22" s="17" t="s">
        <v>50</v>
      </c>
      <c r="C22" s="18" t="s">
        <v>71</v>
      </c>
    </row>
    <row r="23" spans="1:3" x14ac:dyDescent="0.3">
      <c r="A23" s="28"/>
      <c r="B23" s="3" t="s">
        <v>51</v>
      </c>
      <c r="C23" s="19" t="s">
        <v>72</v>
      </c>
    </row>
    <row r="24" spans="1:3" x14ac:dyDescent="0.3">
      <c r="A24" s="28"/>
      <c r="B24" s="3" t="s">
        <v>52</v>
      </c>
      <c r="C24" s="19" t="s">
        <v>73</v>
      </c>
    </row>
    <row r="25" spans="1:3" x14ac:dyDescent="0.3">
      <c r="A25" s="28"/>
      <c r="B25" s="3" t="s">
        <v>53</v>
      </c>
      <c r="C25" s="19" t="s">
        <v>55</v>
      </c>
    </row>
    <row r="26" spans="1:3" x14ac:dyDescent="0.3">
      <c r="A26" s="29"/>
      <c r="B26" s="20" t="s">
        <v>54</v>
      </c>
      <c r="C26" s="21" t="s">
        <v>56</v>
      </c>
    </row>
  </sheetData>
  <mergeCells count="5">
    <mergeCell ref="A17:A21"/>
    <mergeCell ref="A22:A26"/>
    <mergeCell ref="A2:A6"/>
    <mergeCell ref="A7:A11"/>
    <mergeCell ref="A12:A16"/>
  </mergeCells>
  <pageMargins left="0.7" right="0.7" top="0.75" bottom="0.75" header="0.3" footer="0.3"/>
  <pageSetup paperSize="9" scale="8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95EF-ADC4-441A-B1C7-5422C2F25E88}">
  <dimension ref="A1:H36"/>
  <sheetViews>
    <sheetView tabSelected="1" view="pageBreakPreview" topLeftCell="A24" zoomScale="136" zoomScaleNormal="100" workbookViewId="0">
      <selection activeCell="D14" sqref="D14"/>
    </sheetView>
  </sheetViews>
  <sheetFormatPr defaultRowHeight="14.4" x14ac:dyDescent="0.3"/>
  <cols>
    <col min="1" max="1" width="16.44140625" bestFit="1" customWidth="1"/>
    <col min="2" max="2" width="40.6640625" bestFit="1" customWidth="1"/>
    <col min="9" max="9" width="30.33203125" bestFit="1" customWidth="1"/>
  </cols>
  <sheetData>
    <row r="1" spans="1:8" x14ac:dyDescent="0.3">
      <c r="A1" s="1" t="s">
        <v>133</v>
      </c>
      <c r="B1" s="22" t="s">
        <v>132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12</v>
      </c>
    </row>
    <row r="2" spans="1:8" x14ac:dyDescent="0.3">
      <c r="A2" s="30" t="s">
        <v>66</v>
      </c>
      <c r="B2" s="12" t="s">
        <v>125</v>
      </c>
      <c r="C2" s="24">
        <f>FMCG!C203</f>
        <v>4191.0339999999987</v>
      </c>
      <c r="D2" s="24">
        <f>FMCG!D203</f>
        <v>4190.799</v>
      </c>
      <c r="E2" s="24">
        <f>FMCG!E203</f>
        <v>3349.8979999999997</v>
      </c>
      <c r="F2" s="24">
        <f>FMCG!F203</f>
        <v>3093.634</v>
      </c>
      <c r="G2" s="24">
        <f>FMCG!G203</f>
        <v>3626.5777777777776</v>
      </c>
      <c r="H2" s="24">
        <f>FMCG!H203</f>
        <v>4340.1677777777768</v>
      </c>
    </row>
    <row r="3" spans="1:8" x14ac:dyDescent="0.3">
      <c r="A3" s="30"/>
      <c r="B3" s="12" t="s">
        <v>126</v>
      </c>
      <c r="C3" s="24">
        <f>FMCG!C204</f>
        <v>71.469085101188881</v>
      </c>
      <c r="D3" s="24">
        <f>FMCG!D204</f>
        <v>64.868808836160113</v>
      </c>
      <c r="E3" s="24">
        <f>FMCG!E204</f>
        <v>60.684044721690796</v>
      </c>
      <c r="F3" s="24">
        <f>FMCG!F204</f>
        <v>62.081887109676359</v>
      </c>
      <c r="G3" s="24">
        <f>FMCG!G204</f>
        <v>74.422335824887938</v>
      </c>
      <c r="H3" s="24"/>
    </row>
    <row r="4" spans="1:8" x14ac:dyDescent="0.3">
      <c r="A4" s="30"/>
      <c r="B4" s="12" t="s">
        <v>127</v>
      </c>
      <c r="C4" s="24">
        <f>FMCG!C206</f>
        <v>7647.8979999999983</v>
      </c>
      <c r="D4" s="24">
        <f>FMCG!D206</f>
        <v>7893.116</v>
      </c>
      <c r="E4" s="24">
        <f>FMCG!E206</f>
        <v>6279.7719999999999</v>
      </c>
      <c r="F4" s="24">
        <f>FMCG!F206</f>
        <v>5194.2219999999998</v>
      </c>
      <c r="G4" s="24">
        <f>FMCG!G206</f>
        <v>5576.634</v>
      </c>
      <c r="H4" s="24"/>
    </row>
    <row r="5" spans="1:8" x14ac:dyDescent="0.3">
      <c r="A5" s="30"/>
      <c r="B5" s="12" t="s">
        <v>129</v>
      </c>
      <c r="C5" s="24">
        <f>FMCG!C207</f>
        <v>27.775558275029312</v>
      </c>
      <c r="D5" s="24">
        <f>FMCG!D207</f>
        <v>23.885472151858881</v>
      </c>
      <c r="E5" s="24">
        <f>FMCG!E207</f>
        <v>24.218533407587245</v>
      </c>
      <c r="F5" s="24">
        <f>FMCG!F207</f>
        <v>21.218623924023497</v>
      </c>
      <c r="G5" s="24">
        <f>FMCG!G207</f>
        <v>19.131972435260305</v>
      </c>
      <c r="H5" s="24"/>
    </row>
    <row r="6" spans="1:8" x14ac:dyDescent="0.3">
      <c r="A6" s="30"/>
      <c r="B6" s="12" t="s">
        <v>128</v>
      </c>
      <c r="C6" s="24">
        <f>FMCG!C209</f>
        <v>734.17000000000007</v>
      </c>
      <c r="D6" s="24">
        <f>FMCG!D209</f>
        <v>488.48200000000008</v>
      </c>
      <c r="E6" s="24">
        <f>FMCG!E209</f>
        <v>420.02400000000017</v>
      </c>
      <c r="F6" s="24">
        <f>FMCG!F209</f>
        <v>993.04600000000005</v>
      </c>
      <c r="G6" s="24">
        <f>FMCG!G209</f>
        <v>1189.0074999999999</v>
      </c>
      <c r="H6" s="24"/>
    </row>
    <row r="7" spans="1:8" x14ac:dyDescent="0.3">
      <c r="A7" s="30"/>
      <c r="B7" s="12" t="s">
        <v>130</v>
      </c>
      <c r="C7" s="24">
        <f>FMCG!C210</f>
        <v>115.16261192734846</v>
      </c>
      <c r="D7" s="24">
        <f>FMCG!D210</f>
        <v>105.85214552046133</v>
      </c>
      <c r="E7" s="24">
        <f>FMCG!E210</f>
        <v>97.149556035794348</v>
      </c>
      <c r="F7" s="24">
        <f>FMCG!F210</f>
        <v>102.94515029532923</v>
      </c>
      <c r="G7" s="24">
        <v>110</v>
      </c>
      <c r="H7" s="24"/>
    </row>
    <row r="8" spans="1:8" x14ac:dyDescent="0.3">
      <c r="A8" s="30"/>
      <c r="B8" s="23"/>
      <c r="C8" s="24"/>
      <c r="D8" s="24"/>
      <c r="E8" s="24"/>
      <c r="F8" s="24"/>
      <c r="G8" s="24"/>
      <c r="H8" s="24"/>
    </row>
    <row r="9" spans="1:8" x14ac:dyDescent="0.3">
      <c r="A9" s="30" t="s">
        <v>67</v>
      </c>
      <c r="B9" s="12" t="s">
        <v>125</v>
      </c>
      <c r="C9" s="24">
        <f>Automotive!C203</f>
        <v>3609.1140000000005</v>
      </c>
      <c r="D9" s="24">
        <f>Automotive!D203</f>
        <v>1831.5889999999995</v>
      </c>
      <c r="E9" s="24">
        <f>Automotive!E203</f>
        <v>2323.6940000000022</v>
      </c>
      <c r="F9" s="24">
        <f>Automotive!F203</f>
        <v>2794.5410000000011</v>
      </c>
      <c r="G9" s="24">
        <f>Automotive!G203</f>
        <v>2491.8533333333357</v>
      </c>
      <c r="H9" s="24">
        <f>Automotive!H203</f>
        <v>-586.18888888888694</v>
      </c>
    </row>
    <row r="10" spans="1:8" x14ac:dyDescent="0.3">
      <c r="A10" s="30"/>
      <c r="B10" s="12" t="s">
        <v>126</v>
      </c>
      <c r="C10" s="24">
        <f>Automotive!C204</f>
        <v>1.2629324373647279</v>
      </c>
      <c r="D10" s="24">
        <f>Automotive!D204</f>
        <v>5.783673464291911</v>
      </c>
      <c r="E10" s="24">
        <f>Automotive!E204</f>
        <v>9.7131421500346544</v>
      </c>
      <c r="F10" s="24">
        <f>Automotive!F204</f>
        <v>5.3854899133514085</v>
      </c>
      <c r="G10" s="24">
        <f>Automotive!G204</f>
        <v>8.2609065340627943</v>
      </c>
      <c r="H10" s="24"/>
    </row>
    <row r="11" spans="1:8" x14ac:dyDescent="0.3">
      <c r="A11" s="30"/>
      <c r="B11" s="12" t="s">
        <v>127</v>
      </c>
      <c r="C11" s="24">
        <f>Automotive!C206</f>
        <v>6970.0960000000023</v>
      </c>
      <c r="D11" s="24">
        <f>Automotive!D206</f>
        <v>3171.157999999999</v>
      </c>
      <c r="E11" s="24">
        <f>Automotive!E206</f>
        <v>4275.144000000003</v>
      </c>
      <c r="F11" s="24">
        <f>Automotive!F206</f>
        <v>5228.5800000000017</v>
      </c>
      <c r="G11" s="24">
        <f>Automotive!G206</f>
        <v>4242.3240000000051</v>
      </c>
      <c r="H11" s="24"/>
    </row>
    <row r="12" spans="1:8" x14ac:dyDescent="0.3">
      <c r="A12" s="30"/>
      <c r="B12" s="12" t="s">
        <v>129</v>
      </c>
      <c r="C12" s="24">
        <f>Automotive!C207</f>
        <v>-26.476811859287857</v>
      </c>
      <c r="D12" s="24">
        <f>Automotive!D207</f>
        <v>-21.09031941666543</v>
      </c>
      <c r="E12" s="24">
        <f>Automotive!E207</f>
        <v>-17.166164786911015</v>
      </c>
      <c r="F12" s="24">
        <f>Automotive!F207</f>
        <v>-24.519472543669618</v>
      </c>
      <c r="G12" s="24">
        <f>Automotive!G207</f>
        <v>-27.361934119037176</v>
      </c>
      <c r="H12" s="24"/>
    </row>
    <row r="13" spans="1:8" x14ac:dyDescent="0.3">
      <c r="A13" s="30"/>
      <c r="B13" s="12" t="s">
        <v>128</v>
      </c>
      <c r="C13" s="24">
        <f>FMCG!C209</f>
        <v>734.17000000000007</v>
      </c>
      <c r="D13" s="24">
        <f>FMCG!D209</f>
        <v>488.48200000000008</v>
      </c>
      <c r="E13" s="24">
        <f>FMCG!E209</f>
        <v>420.02400000000017</v>
      </c>
      <c r="F13" s="24">
        <f>FMCG!F209</f>
        <v>993.04600000000005</v>
      </c>
      <c r="G13" s="24">
        <f>FMCG!G209</f>
        <v>1189.0074999999999</v>
      </c>
      <c r="H13" s="24"/>
    </row>
    <row r="14" spans="1:8" x14ac:dyDescent="0.3">
      <c r="A14" s="30"/>
      <c r="B14" s="12" t="s">
        <v>130</v>
      </c>
      <c r="C14" s="24">
        <f>FMCG!C210</f>
        <v>115.16261192734846</v>
      </c>
      <c r="D14" s="24">
        <f>FMCG!D210</f>
        <v>105.85214552046133</v>
      </c>
      <c r="E14" s="24">
        <f>FMCG!E210</f>
        <v>97.149556035794348</v>
      </c>
      <c r="F14" s="24">
        <f>FMCG!F210</f>
        <v>102.94515029532923</v>
      </c>
      <c r="G14" s="24">
        <f>FMCG!G210</f>
        <v>143.5352900619225</v>
      </c>
      <c r="H14" s="24"/>
    </row>
    <row r="15" spans="1:8" x14ac:dyDescent="0.3">
      <c r="A15" s="30"/>
      <c r="B15" s="23"/>
      <c r="C15" s="24"/>
      <c r="D15" s="24"/>
      <c r="E15" s="24"/>
      <c r="F15" s="24"/>
      <c r="G15" s="24"/>
      <c r="H15" s="24"/>
    </row>
    <row r="16" spans="1:8" x14ac:dyDescent="0.3">
      <c r="A16" s="30" t="s">
        <v>131</v>
      </c>
      <c r="B16" s="12" t="s">
        <v>125</v>
      </c>
      <c r="C16" s="24">
        <f>'Energy '!C203</f>
        <v>-9489.9909999999982</v>
      </c>
      <c r="D16" s="24">
        <f>'Energy '!D203</f>
        <v>-5930.829999999999</v>
      </c>
      <c r="E16" s="24">
        <f>'Energy '!E203</f>
        <v>-4868.9830000000011</v>
      </c>
      <c r="F16" s="24">
        <f>'Energy '!F203</f>
        <v>-5931.630000000001</v>
      </c>
      <c r="G16" s="24">
        <f>'Energy '!G203</f>
        <v>-6778.8570000000009</v>
      </c>
      <c r="H16" s="24"/>
    </row>
    <row r="17" spans="1:8" x14ac:dyDescent="0.3">
      <c r="A17" s="30"/>
      <c r="B17" s="12" t="s">
        <v>126</v>
      </c>
      <c r="C17" s="24">
        <f>'Energy '!C204</f>
        <v>18.009927831049851</v>
      </c>
      <c r="D17" s="24">
        <f>'Energy '!D204</f>
        <v>15.532443343940756</v>
      </c>
      <c r="E17" s="24">
        <f>'Energy '!E204</f>
        <v>11.499665144771203</v>
      </c>
      <c r="F17" s="24">
        <f>'Energy '!F204</f>
        <v>10.432728967946097</v>
      </c>
      <c r="G17" s="24">
        <f>'Energy '!G204</f>
        <v>16.59856437810614</v>
      </c>
      <c r="H17" s="24"/>
    </row>
    <row r="18" spans="1:8" x14ac:dyDescent="0.3">
      <c r="A18" s="30"/>
      <c r="B18" s="12" t="s">
        <v>127</v>
      </c>
      <c r="C18" s="24">
        <f>'Energy '!C206</f>
        <v>-22325.264000000003</v>
      </c>
      <c r="D18" s="24">
        <f>'Energy '!D206</f>
        <v>-13967.817999999999</v>
      </c>
      <c r="E18" s="24">
        <f>'Energy '!E206</f>
        <v>-11453.119999999999</v>
      </c>
      <c r="F18" s="24">
        <f>'Energy '!F206</f>
        <v>-13019.536000000002</v>
      </c>
      <c r="G18" s="24">
        <f>'Energy '!G206</f>
        <v>-14749.556000000002</v>
      </c>
      <c r="H18" s="24"/>
    </row>
    <row r="19" spans="1:8" x14ac:dyDescent="0.3">
      <c r="A19" s="30"/>
      <c r="B19" s="12" t="s">
        <v>129</v>
      </c>
      <c r="C19" s="24">
        <f>'Energy '!C207</f>
        <v>17.05451139438447</v>
      </c>
      <c r="D19" s="24">
        <f>'Energy '!D207</f>
        <v>15.087784526331257</v>
      </c>
      <c r="E19" s="24">
        <f>'Energy '!E207</f>
        <v>8.7607728273552308</v>
      </c>
      <c r="F19" s="24">
        <f>'Energy '!F207</f>
        <v>10.521014430993636</v>
      </c>
      <c r="G19" s="24">
        <f>'Energy '!G207</f>
        <v>17.706232203748925</v>
      </c>
      <c r="H19" s="24"/>
    </row>
    <row r="20" spans="1:8" x14ac:dyDescent="0.3">
      <c r="A20" s="30"/>
      <c r="B20" s="12" t="s">
        <v>128</v>
      </c>
      <c r="C20" s="24">
        <f>'Energy '!C209</f>
        <v>3345.2820000000002</v>
      </c>
      <c r="D20" s="24">
        <f>'Energy '!D209</f>
        <v>2106.1580000000004</v>
      </c>
      <c r="E20" s="24">
        <f>'Energy '!E209</f>
        <v>1715.1539999999998</v>
      </c>
      <c r="F20" s="24">
        <f>'Energy '!F209</f>
        <v>1156.2759999999998</v>
      </c>
      <c r="G20" s="24">
        <f>'Energy '!G209</f>
        <v>1191.8420000000001</v>
      </c>
      <c r="H20" s="24"/>
    </row>
    <row r="21" spans="1:8" x14ac:dyDescent="0.3">
      <c r="A21" s="30"/>
      <c r="B21" s="12" t="s">
        <v>130</v>
      </c>
      <c r="C21" s="24">
        <f>'Energy '!C210</f>
        <v>18.965344267715238</v>
      </c>
      <c r="D21" s="24">
        <f>'Energy '!D210</f>
        <v>15.977102161550254</v>
      </c>
      <c r="E21" s="24">
        <f>'Energy '!E210</f>
        <v>14.238557462187174</v>
      </c>
      <c r="F21" s="24">
        <f>'Energy '!F210</f>
        <v>10.34444350489856</v>
      </c>
      <c r="G21" s="24">
        <f>'Energy '!G210</f>
        <v>15.490896552463351</v>
      </c>
      <c r="H21" s="24"/>
    </row>
    <row r="22" spans="1:8" x14ac:dyDescent="0.3">
      <c r="A22" s="30"/>
      <c r="B22" s="12"/>
      <c r="C22" s="24"/>
      <c r="D22" s="24"/>
      <c r="E22" s="24"/>
      <c r="F22" s="24"/>
      <c r="G22" s="24"/>
      <c r="H22" s="24"/>
    </row>
    <row r="23" spans="1:8" x14ac:dyDescent="0.3">
      <c r="A23" s="30" t="s">
        <v>69</v>
      </c>
      <c r="B23" s="12" t="s">
        <v>125</v>
      </c>
      <c r="C23" s="24">
        <f>Metals!C203</f>
        <v>1753.6739999999998</v>
      </c>
      <c r="D23" s="24">
        <f>Metals!D203</f>
        <v>-2333.5449999999987</v>
      </c>
      <c r="E23" s="24">
        <f>Metals!E203</f>
        <v>-892.82600000000093</v>
      </c>
      <c r="F23" s="24">
        <f>Metals!F203</f>
        <v>3454.7860000000001</v>
      </c>
      <c r="G23" s="24">
        <f>Metals!G203</f>
        <v>-652.41300000000012</v>
      </c>
      <c r="H23" s="24">
        <f>Metals!H203</f>
        <v>1301.473</v>
      </c>
    </row>
    <row r="24" spans="1:8" x14ac:dyDescent="0.3">
      <c r="A24" s="30"/>
      <c r="B24" s="12" t="s">
        <v>126</v>
      </c>
      <c r="C24" s="24">
        <f>Metals!C204</f>
        <v>107.59371616759549</v>
      </c>
      <c r="D24" s="24">
        <f>Metals!D204</f>
        <v>93.31206816276763</v>
      </c>
      <c r="E24" s="24">
        <f>Metals!E204</f>
        <v>77.459846586436981</v>
      </c>
      <c r="F24" s="24">
        <f>Metals!F204</f>
        <v>77.375495659224725</v>
      </c>
      <c r="G24" s="24">
        <f>Metals!G204</f>
        <v>105.97579089356866</v>
      </c>
      <c r="H24" s="24"/>
    </row>
    <row r="25" spans="1:8" x14ac:dyDescent="0.3">
      <c r="A25" s="30"/>
      <c r="B25" s="12" t="s">
        <v>127</v>
      </c>
      <c r="C25" s="24">
        <f>Metals!C206</f>
        <v>1466.251999999999</v>
      </c>
      <c r="D25" s="24">
        <f>Metals!D206</f>
        <v>-6766.5359999999973</v>
      </c>
      <c r="E25" s="24">
        <f>Metals!E206</f>
        <v>-3562.3920000000012</v>
      </c>
      <c r="F25" s="24">
        <f>Metals!F206</f>
        <v>5605.3160000000007</v>
      </c>
      <c r="G25" s="24">
        <f>Metals!G206</f>
        <v>-2395.2719999999999</v>
      </c>
      <c r="H25" s="24"/>
    </row>
    <row r="26" spans="1:8" x14ac:dyDescent="0.3">
      <c r="A26" s="30"/>
      <c r="B26" s="12" t="s">
        <v>129</v>
      </c>
      <c r="C26" s="24">
        <f>Metals!C207</f>
        <v>80.629785577130789</v>
      </c>
      <c r="D26" s="24">
        <f>Metals!D207</f>
        <v>64.089892288841611</v>
      </c>
      <c r="E26" s="24">
        <f>Metals!E207</f>
        <v>42.401071073242193</v>
      </c>
      <c r="F26" s="24">
        <f>Metals!F207</f>
        <v>43.935987987185761</v>
      </c>
      <c r="G26" s="24">
        <f>Metals!G207</f>
        <v>78.458139799732578</v>
      </c>
      <c r="H26" s="24"/>
    </row>
    <row r="27" spans="1:8" x14ac:dyDescent="0.3">
      <c r="A27" s="30"/>
      <c r="B27" s="12" t="s">
        <v>128</v>
      </c>
      <c r="C27" s="24">
        <f>Metals!C209</f>
        <v>2041.0960000000002</v>
      </c>
      <c r="D27" s="24">
        <f>Metals!D209</f>
        <v>2099.4459999999999</v>
      </c>
      <c r="E27" s="24">
        <f>Metals!E209</f>
        <v>1776.7399999999998</v>
      </c>
      <c r="F27" s="24">
        <f>Metals!F209</f>
        <v>1304.2560000000001</v>
      </c>
      <c r="G27" s="24">
        <f>Metals!G209</f>
        <v>1090.4459999999999</v>
      </c>
      <c r="H27" s="24"/>
    </row>
    <row r="28" spans="1:8" x14ac:dyDescent="0.3">
      <c r="A28" s="30"/>
      <c r="B28" s="12" t="s">
        <v>130</v>
      </c>
      <c r="C28" s="24">
        <f>Metals!C210</f>
        <v>134.55764675806023</v>
      </c>
      <c r="D28" s="24">
        <f>Metals!D210</f>
        <v>122.53424403669365</v>
      </c>
      <c r="E28" s="24">
        <f>Metals!E210</f>
        <v>112.51862209963178</v>
      </c>
      <c r="F28" s="24">
        <f>Metals!F210</f>
        <v>110.81500333126368</v>
      </c>
      <c r="G28" s="24">
        <f>Metals!G210</f>
        <v>133.49344198740474</v>
      </c>
      <c r="H28" s="24"/>
    </row>
    <row r="29" spans="1:8" x14ac:dyDescent="0.3">
      <c r="A29" s="30"/>
      <c r="B29" s="12"/>
      <c r="C29" s="24"/>
      <c r="D29" s="24"/>
      <c r="E29" s="24"/>
      <c r="F29" s="24"/>
      <c r="G29" s="24"/>
      <c r="H29" s="24"/>
    </row>
    <row r="30" spans="1:8" x14ac:dyDescent="0.3">
      <c r="A30" s="30" t="s">
        <v>70</v>
      </c>
      <c r="B30" s="12" t="s">
        <v>125</v>
      </c>
      <c r="C30" s="24">
        <f>Pharma!C203</f>
        <v>10024.571999999996</v>
      </c>
      <c r="D30" s="24">
        <f>Pharma!D203</f>
        <v>8582.7979999999989</v>
      </c>
      <c r="E30" s="24">
        <f>Pharma!E203</f>
        <v>7156.4719999999998</v>
      </c>
      <c r="F30" s="24">
        <f>Pharma!F203</f>
        <v>6202.134</v>
      </c>
      <c r="G30" s="24">
        <f>Pharma!G203</f>
        <v>5028.110999999999</v>
      </c>
      <c r="H30" s="24">
        <f>Pharma!H203</f>
        <v>4171.3860000000004</v>
      </c>
    </row>
    <row r="31" spans="1:8" x14ac:dyDescent="0.3">
      <c r="A31" s="30"/>
      <c r="B31" s="12" t="s">
        <v>126</v>
      </c>
      <c r="C31" s="24">
        <f>Pharma!C204</f>
        <v>215.58123187607353</v>
      </c>
      <c r="D31" s="24">
        <f>Pharma!D204</f>
        <v>211.61664298444498</v>
      </c>
      <c r="E31" s="24">
        <f>Pharma!E204</f>
        <v>222.13207359496181</v>
      </c>
      <c r="F31" s="24">
        <f>Pharma!F204</f>
        <v>228.89439824522142</v>
      </c>
      <c r="G31" s="24">
        <f>Pharma!G204</f>
        <v>218.80489308599817</v>
      </c>
      <c r="H31" s="24"/>
    </row>
    <row r="32" spans="1:8" x14ac:dyDescent="0.3">
      <c r="A32" s="30"/>
      <c r="B32" s="12" t="s">
        <v>127</v>
      </c>
      <c r="C32" s="24">
        <f>Pharma!C206</f>
        <v>16940.748</v>
      </c>
      <c r="D32" s="24">
        <f>Pharma!D206</f>
        <v>14813.904</v>
      </c>
      <c r="E32" s="24">
        <f>Pharma!E206</f>
        <v>11706.521999999999</v>
      </c>
      <c r="F32" s="24">
        <f>Pharma!F206</f>
        <v>10006.794</v>
      </c>
      <c r="G32" s="24">
        <f>Pharma!G206</f>
        <v>7874.793999999999</v>
      </c>
      <c r="H32" s="24"/>
    </row>
    <row r="33" spans="1:8" x14ac:dyDescent="0.3">
      <c r="A33" s="30"/>
      <c r="B33" s="12" t="s">
        <v>129</v>
      </c>
      <c r="C33" s="24">
        <f>Pharma!C207</f>
        <v>205.335459949409</v>
      </c>
      <c r="D33" s="24">
        <f>Pharma!D207</f>
        <v>201.87177692608472</v>
      </c>
      <c r="E33" s="24">
        <f>Pharma!E207</f>
        <v>207.83109078477347</v>
      </c>
      <c r="F33" s="24">
        <f>Pharma!F207</f>
        <v>216.59005252510761</v>
      </c>
      <c r="G33" s="24">
        <f>Pharma!G207</f>
        <v>228.19477019103707</v>
      </c>
      <c r="H33" s="24"/>
    </row>
    <row r="34" spans="1:8" x14ac:dyDescent="0.3">
      <c r="A34" s="30"/>
      <c r="B34" s="12" t="s">
        <v>128</v>
      </c>
      <c r="C34" s="24">
        <f>Pharma!C209</f>
        <v>3108.3959999999997</v>
      </c>
      <c r="D34" s="24">
        <f>Pharma!D209</f>
        <v>2351.692</v>
      </c>
      <c r="E34" s="24">
        <f>Pharma!E209</f>
        <v>2606.422</v>
      </c>
      <c r="F34" s="24">
        <f>Pharma!F209</f>
        <v>2397.4739999999997</v>
      </c>
      <c r="G34" s="24">
        <f>Pharma!G209</f>
        <v>2181.4279999999999</v>
      </c>
      <c r="H34" s="24"/>
    </row>
    <row r="35" spans="1:8" x14ac:dyDescent="0.3">
      <c r="A35" s="30"/>
      <c r="B35" s="12" t="s">
        <v>130</v>
      </c>
      <c r="C35" s="24">
        <f>Pharma!C210</f>
        <v>225.82700380273803</v>
      </c>
      <c r="D35" s="24">
        <f>Pharma!D210</f>
        <v>221.36150904280527</v>
      </c>
      <c r="E35" s="24">
        <f>Pharma!E210</f>
        <v>236.43305640515018</v>
      </c>
      <c r="F35" s="24">
        <f>Pharma!F210</f>
        <v>241.19874396533524</v>
      </c>
      <c r="G35" s="24">
        <f>Pharma!G210</f>
        <v>209.41501598095928</v>
      </c>
      <c r="H35" s="24"/>
    </row>
    <row r="36" spans="1:8" x14ac:dyDescent="0.3">
      <c r="A36" s="30"/>
      <c r="B36" s="12"/>
      <c r="C36" s="24"/>
      <c r="D36" s="24"/>
      <c r="E36" s="24"/>
      <c r="F36" s="24"/>
      <c r="G36" s="24"/>
      <c r="H36" s="24"/>
    </row>
  </sheetData>
  <mergeCells count="5">
    <mergeCell ref="A30:A36"/>
    <mergeCell ref="A16:A22"/>
    <mergeCell ref="A23:A29"/>
    <mergeCell ref="A2:A8"/>
    <mergeCell ref="A9:A15"/>
  </mergeCells>
  <pageMargins left="0.7" right="0.7" top="0.75" bottom="0.75" header="0.3" footer="0.3"/>
  <pageSetup scale="81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view="pageBreakPreview" topLeftCell="A198" zoomScale="118" zoomScaleNormal="100" workbookViewId="0">
      <selection activeCell="G211" sqref="G211"/>
    </sheetView>
  </sheetViews>
  <sheetFormatPr defaultRowHeight="14.4" x14ac:dyDescent="0.3"/>
  <cols>
    <col min="1" max="1" width="43.109375" style="14" customWidth="1"/>
    <col min="2" max="2" width="43" bestFit="1" customWidth="1"/>
    <col min="3" max="3" width="9" customWidth="1"/>
    <col min="4" max="5" width="9" bestFit="1" customWidth="1"/>
    <col min="6" max="6" width="9.44140625" customWidth="1"/>
    <col min="7" max="7" width="9" bestFit="1" customWidth="1"/>
    <col min="8" max="8" width="12.44140625" customWidth="1"/>
  </cols>
  <sheetData>
    <row r="1" spans="1:8" x14ac:dyDescent="0.3">
      <c r="A1" s="26" t="s">
        <v>9</v>
      </c>
      <c r="B1" s="26"/>
      <c r="C1" s="26"/>
      <c r="D1" s="26"/>
      <c r="E1" s="26"/>
      <c r="F1" s="26"/>
      <c r="G1" s="26"/>
      <c r="H1" s="26"/>
    </row>
    <row r="2" spans="1:8" s="1" customFormat="1" x14ac:dyDescent="0.3">
      <c r="A2" s="1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12</v>
      </c>
    </row>
    <row r="3" spans="1:8" x14ac:dyDescent="0.3">
      <c r="A3" s="12" t="s">
        <v>8</v>
      </c>
      <c r="B3" s="3"/>
      <c r="C3" s="8">
        <v>62288</v>
      </c>
      <c r="D3" s="8">
        <v>60966</v>
      </c>
      <c r="E3" s="8">
        <v>59549</v>
      </c>
      <c r="F3" s="8">
        <v>51548</v>
      </c>
      <c r="G3" s="8">
        <v>46321</v>
      </c>
      <c r="H3" s="8">
        <v>39238</v>
      </c>
    </row>
    <row r="4" spans="1:8" x14ac:dyDescent="0.3">
      <c r="A4" s="12" t="s">
        <v>11</v>
      </c>
      <c r="B4" s="3"/>
      <c r="C4" s="8">
        <v>30578</v>
      </c>
      <c r="D4" s="8">
        <v>29760</v>
      </c>
      <c r="E4" s="8">
        <v>31716</v>
      </c>
      <c r="F4" s="8">
        <v>25735</v>
      </c>
      <c r="G4" s="8">
        <v>22148</v>
      </c>
      <c r="H4" s="9">
        <v>18259</v>
      </c>
    </row>
    <row r="5" spans="1:8" x14ac:dyDescent="0.3">
      <c r="A5" s="13" t="s">
        <v>28</v>
      </c>
      <c r="B5" s="3"/>
      <c r="C5" s="8">
        <v>22051</v>
      </c>
      <c r="D5" s="8">
        <v>21324</v>
      </c>
      <c r="E5" s="8">
        <v>16998</v>
      </c>
      <c r="F5" s="8">
        <v>15522</v>
      </c>
      <c r="G5" s="8">
        <v>14217</v>
      </c>
      <c r="H5" s="9">
        <v>12321</v>
      </c>
    </row>
    <row r="6" spans="1:8" x14ac:dyDescent="0.3">
      <c r="A6" s="12" t="s">
        <v>5</v>
      </c>
      <c r="B6" s="1"/>
      <c r="C6" s="8">
        <v>4415</v>
      </c>
      <c r="D6" s="8">
        <v>4022</v>
      </c>
      <c r="E6" s="8">
        <v>4251</v>
      </c>
      <c r="F6" s="8">
        <v>4096</v>
      </c>
      <c r="G6" s="8">
        <v>3579</v>
      </c>
      <c r="H6" s="8">
        <v>2767</v>
      </c>
    </row>
    <row r="7" spans="1:8" x14ac:dyDescent="0.3">
      <c r="A7" s="12" t="s">
        <v>6</v>
      </c>
      <c r="B7" s="1"/>
      <c r="C7" s="8">
        <v>3819</v>
      </c>
      <c r="D7" s="8">
        <v>2997</v>
      </c>
      <c r="E7" s="8">
        <v>3079</v>
      </c>
      <c r="F7" s="8">
        <v>2236</v>
      </c>
      <c r="G7" s="8">
        <v>1758</v>
      </c>
      <c r="H7" s="8">
        <v>1149</v>
      </c>
    </row>
    <row r="8" spans="1:8" x14ac:dyDescent="0.3">
      <c r="A8" s="13" t="s">
        <v>29</v>
      </c>
      <c r="B8" s="2"/>
      <c r="C8" s="9">
        <v>16537</v>
      </c>
      <c r="D8" s="9">
        <v>12876</v>
      </c>
      <c r="E8" s="9">
        <v>12028</v>
      </c>
      <c r="F8" s="9">
        <v>11280</v>
      </c>
      <c r="G8" s="9">
        <v>11103</v>
      </c>
      <c r="H8" s="9">
        <v>9317</v>
      </c>
    </row>
    <row r="9" spans="1:8" x14ac:dyDescent="0.3">
      <c r="A9" s="12" t="s">
        <v>7</v>
      </c>
      <c r="B9" s="1"/>
      <c r="C9" s="8">
        <v>11315</v>
      </c>
      <c r="D9" s="8">
        <v>10486</v>
      </c>
      <c r="E9" s="8">
        <v>9574</v>
      </c>
      <c r="F9" s="8">
        <v>9068</v>
      </c>
      <c r="G9" s="8">
        <v>8802</v>
      </c>
      <c r="H9" s="8">
        <v>7535</v>
      </c>
    </row>
    <row r="10" spans="1:8" x14ac:dyDescent="0.3">
      <c r="A10" s="12"/>
      <c r="B10" s="1"/>
      <c r="C10" s="8"/>
      <c r="D10" s="8"/>
      <c r="E10" s="8"/>
      <c r="F10" s="8"/>
      <c r="G10" s="8"/>
      <c r="H10" s="8"/>
    </row>
    <row r="11" spans="1:8" x14ac:dyDescent="0.3">
      <c r="A11" s="4" t="s">
        <v>93</v>
      </c>
      <c r="B11" s="1"/>
      <c r="C11" s="8"/>
      <c r="D11" s="8"/>
      <c r="E11" s="8"/>
      <c r="F11" s="8"/>
      <c r="G11" s="8"/>
      <c r="H11" s="8"/>
    </row>
    <row r="12" spans="1:8" x14ac:dyDescent="0.3">
      <c r="A12" s="12" t="s">
        <v>94</v>
      </c>
      <c r="B12" s="11" t="s">
        <v>95</v>
      </c>
      <c r="C12" s="8">
        <f>C5-C8</f>
        <v>5514</v>
      </c>
      <c r="D12" s="8">
        <f t="shared" ref="D12:G12" si="0">D5-D8</f>
        <v>8448</v>
      </c>
      <c r="E12" s="8">
        <f t="shared" si="0"/>
        <v>4970</v>
      </c>
      <c r="F12" s="8">
        <f t="shared" si="0"/>
        <v>4242</v>
      </c>
      <c r="G12" s="8">
        <f t="shared" si="0"/>
        <v>3114</v>
      </c>
      <c r="H12" s="8">
        <f>H5-H8</f>
        <v>3004</v>
      </c>
    </row>
    <row r="13" spans="1:8" x14ac:dyDescent="0.3">
      <c r="A13" s="12" t="s">
        <v>96</v>
      </c>
      <c r="B13" s="11" t="s">
        <v>103</v>
      </c>
      <c r="C13" s="8">
        <f>(C6+D6)/2</f>
        <v>4218.5</v>
      </c>
      <c r="D13" s="8">
        <f>(D6+E6)/2</f>
        <v>4136.5</v>
      </c>
      <c r="E13" s="8">
        <f>(E6+F6)/2</f>
        <v>4173.5</v>
      </c>
      <c r="F13" s="8">
        <f>(F6+G6)/2</f>
        <v>3837.5</v>
      </c>
      <c r="G13" s="8">
        <f>(G6+H6)/2</f>
        <v>3173</v>
      </c>
      <c r="H13" s="8"/>
    </row>
    <row r="14" spans="1:8" x14ac:dyDescent="0.3">
      <c r="A14" s="12" t="s">
        <v>97</v>
      </c>
      <c r="B14" s="11" t="s">
        <v>104</v>
      </c>
      <c r="C14" s="2">
        <f>(C7+D7)/2</f>
        <v>3408</v>
      </c>
      <c r="D14" s="2">
        <f t="shared" ref="D14:G14" si="1">(D7+E7)/2</f>
        <v>3038</v>
      </c>
      <c r="E14" s="2">
        <f t="shared" si="1"/>
        <v>2657.5</v>
      </c>
      <c r="F14" s="2">
        <f t="shared" si="1"/>
        <v>1997</v>
      </c>
      <c r="G14" s="2">
        <f t="shared" si="1"/>
        <v>1453.5</v>
      </c>
    </row>
    <row r="15" spans="1:8" x14ac:dyDescent="0.3">
      <c r="A15" s="12" t="s">
        <v>98</v>
      </c>
      <c r="B15" s="11" t="s">
        <v>102</v>
      </c>
      <c r="C15" s="8">
        <f>(C9+D9)/2</f>
        <v>10900.5</v>
      </c>
      <c r="D15" s="8">
        <f t="shared" ref="D15:G15" si="2">(D9+E9)/2</f>
        <v>10030</v>
      </c>
      <c r="E15" s="8">
        <f t="shared" si="2"/>
        <v>9321</v>
      </c>
      <c r="F15" s="8">
        <f t="shared" si="2"/>
        <v>8935</v>
      </c>
      <c r="G15" s="8">
        <f t="shared" si="2"/>
        <v>8168.5</v>
      </c>
      <c r="H15" s="8"/>
    </row>
    <row r="16" spans="1:8" x14ac:dyDescent="0.3">
      <c r="A16" s="12" t="s">
        <v>105</v>
      </c>
      <c r="B16" s="11" t="s">
        <v>99</v>
      </c>
      <c r="C16" s="8">
        <f>(C13/C4)*365</f>
        <v>50.354912028255612</v>
      </c>
      <c r="D16" s="8">
        <f t="shared" ref="D16:F16" si="3">(D13/D4)*365</f>
        <v>50.733282930107528</v>
      </c>
      <c r="E16" s="8">
        <f t="shared" si="3"/>
        <v>48.030252869214273</v>
      </c>
      <c r="F16" s="8">
        <f t="shared" si="3"/>
        <v>54.427336312415001</v>
      </c>
      <c r="G16" s="8">
        <f>(G13/G4)*365</f>
        <v>52.291177532960091</v>
      </c>
      <c r="H16" s="8"/>
    </row>
    <row r="17" spans="1:8" x14ac:dyDescent="0.3">
      <c r="A17" s="12" t="s">
        <v>106</v>
      </c>
      <c r="B17" s="11" t="s">
        <v>100</v>
      </c>
      <c r="C17" s="8">
        <f>(C14/C3)*365</f>
        <v>19.970459799640381</v>
      </c>
      <c r="D17" s="8">
        <f>(D14/D3)*365</f>
        <v>18.188334481514286</v>
      </c>
      <c r="E17" s="8">
        <f>(E14/E3)*365</f>
        <v>16.288896538984702</v>
      </c>
      <c r="F17" s="8">
        <f>(F14/F3)*365</f>
        <v>14.140315822146349</v>
      </c>
      <c r="G17" s="8">
        <f>(G14/G3)*365</f>
        <v>11.453282528442823</v>
      </c>
      <c r="H17" s="8"/>
    </row>
    <row r="18" spans="1:8" x14ac:dyDescent="0.3">
      <c r="A18" s="12" t="s">
        <v>107</v>
      </c>
      <c r="B18" s="11" t="s">
        <v>101</v>
      </c>
      <c r="C18" s="8">
        <f>(C15/C4)*365</f>
        <v>130.11585126561579</v>
      </c>
      <c r="D18" s="8">
        <f>(D15/D4)*365</f>
        <v>123.01579301075269</v>
      </c>
      <c r="E18" s="8">
        <f t="shared" ref="E18:G18" si="4">(E15/E4)*365</f>
        <v>107.26967461218314</v>
      </c>
      <c r="F18" s="8">
        <f t="shared" si="4"/>
        <v>126.72527686030698</v>
      </c>
      <c r="G18" s="8">
        <f t="shared" si="4"/>
        <v>134.61723406176631</v>
      </c>
      <c r="H18" s="8"/>
    </row>
    <row r="19" spans="1:8" x14ac:dyDescent="0.3">
      <c r="A19" s="12" t="s">
        <v>109</v>
      </c>
      <c r="B19" s="11" t="s">
        <v>108</v>
      </c>
      <c r="C19" s="8">
        <f>C16+C17-C18</f>
        <v>-59.790479437719796</v>
      </c>
      <c r="D19" s="8">
        <f t="shared" ref="D19:G19" si="5">D16+D17-D18</f>
        <v>-54.094175599130878</v>
      </c>
      <c r="E19" s="8">
        <f t="shared" si="5"/>
        <v>-42.950525203984171</v>
      </c>
      <c r="F19" s="8">
        <f t="shared" si="5"/>
        <v>-58.157624725745634</v>
      </c>
      <c r="G19" s="8">
        <f t="shared" si="5"/>
        <v>-70.872774000363393</v>
      </c>
      <c r="H19" s="8"/>
    </row>
    <row r="20" spans="1:8" x14ac:dyDescent="0.3">
      <c r="A20" s="12"/>
      <c r="B20" s="1"/>
      <c r="C20" s="8"/>
      <c r="D20" s="8"/>
      <c r="E20" s="8"/>
      <c r="F20" s="8"/>
      <c r="G20" s="8"/>
      <c r="H20" s="8"/>
    </row>
    <row r="21" spans="1:8" x14ac:dyDescent="0.3">
      <c r="A21" s="26" t="s">
        <v>30</v>
      </c>
      <c r="B21" s="26"/>
      <c r="C21" s="26"/>
      <c r="D21" s="26"/>
      <c r="E21" s="26"/>
      <c r="F21" s="26"/>
      <c r="G21" s="26"/>
      <c r="H21" s="26"/>
    </row>
    <row r="22" spans="1:8" x14ac:dyDescent="0.3">
      <c r="A22" s="11" t="s">
        <v>10</v>
      </c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12</v>
      </c>
    </row>
    <row r="23" spans="1:8" x14ac:dyDescent="0.3">
      <c r="A23" s="12" t="s">
        <v>8</v>
      </c>
      <c r="B23" s="3"/>
      <c r="C23" s="5">
        <v>69323.520000000004</v>
      </c>
      <c r="D23" s="5">
        <v>65440.81</v>
      </c>
      <c r="E23" s="5">
        <v>66043.27</v>
      </c>
      <c r="F23" s="5">
        <v>56341.27</v>
      </c>
      <c r="G23" s="5">
        <v>45485.13</v>
      </c>
      <c r="H23" s="5">
        <v>45619</v>
      </c>
    </row>
    <row r="24" spans="1:8" x14ac:dyDescent="0.3">
      <c r="A24" s="12" t="s">
        <v>11</v>
      </c>
      <c r="B24" s="3"/>
      <c r="C24" s="6">
        <v>31735.84</v>
      </c>
      <c r="D24" s="6">
        <v>26982.1</v>
      </c>
      <c r="E24" s="6">
        <v>28880.18</v>
      </c>
      <c r="F24" s="6">
        <v>26232.52</v>
      </c>
      <c r="G24" s="6">
        <v>19974</v>
      </c>
      <c r="H24" s="6">
        <f>13121+4289-176</f>
        <v>17234</v>
      </c>
    </row>
    <row r="25" spans="1:8" s="4" customFormat="1" x14ac:dyDescent="0.3">
      <c r="A25" s="12" t="s">
        <v>28</v>
      </c>
      <c r="C25" s="6">
        <v>43893.279999999999</v>
      </c>
      <c r="D25" s="6">
        <v>41065.54</v>
      </c>
      <c r="E25" s="6">
        <v>39670.89</v>
      </c>
      <c r="F25" s="6">
        <v>34232.449999999997</v>
      </c>
      <c r="G25" s="6">
        <v>34991.99</v>
      </c>
      <c r="H25" s="6">
        <v>39505.35</v>
      </c>
    </row>
    <row r="26" spans="1:8" x14ac:dyDescent="0.3">
      <c r="A26" s="12" t="s">
        <v>5</v>
      </c>
      <c r="B26" s="1"/>
      <c r="C26" s="6">
        <v>15836.14</v>
      </c>
      <c r="D26" s="6">
        <v>14302.88</v>
      </c>
      <c r="E26" s="6">
        <v>11914.13</v>
      </c>
      <c r="F26" s="6">
        <v>10973.59</v>
      </c>
      <c r="G26" s="6">
        <v>10507.22</v>
      </c>
      <c r="H26" s="6">
        <v>8965</v>
      </c>
    </row>
    <row r="27" spans="1:8" x14ac:dyDescent="0.3">
      <c r="A27" s="12" t="s">
        <v>6</v>
      </c>
      <c r="B27" s="1"/>
      <c r="C27" s="6">
        <v>4719.67</v>
      </c>
      <c r="D27" s="6">
        <v>4025.82</v>
      </c>
      <c r="E27" s="6">
        <v>2956.17</v>
      </c>
      <c r="F27" s="6">
        <v>2461.9</v>
      </c>
      <c r="G27" s="6">
        <v>2501.6999999999998</v>
      </c>
      <c r="H27" s="6">
        <v>2562</v>
      </c>
    </row>
    <row r="28" spans="1:8" s="4" customFormat="1" x14ac:dyDescent="0.3">
      <c r="A28" s="12" t="s">
        <v>29</v>
      </c>
      <c r="C28" s="6">
        <v>14334.11</v>
      </c>
      <c r="D28" s="6">
        <v>13690.4</v>
      </c>
      <c r="E28" s="6">
        <v>13739.41</v>
      </c>
      <c r="F28" s="6">
        <v>12163.71</v>
      </c>
      <c r="G28" s="6">
        <v>10689.68</v>
      </c>
      <c r="H28" s="6">
        <v>9559.77</v>
      </c>
    </row>
    <row r="29" spans="1:8" x14ac:dyDescent="0.3">
      <c r="A29" s="12" t="s">
        <v>7</v>
      </c>
      <c r="B29" s="1"/>
      <c r="C29" s="6">
        <v>4807.3</v>
      </c>
      <c r="D29" s="6">
        <v>4797.83</v>
      </c>
      <c r="E29" s="6">
        <v>4658.99</v>
      </c>
      <c r="F29" s="6">
        <v>4417.26</v>
      </c>
      <c r="G29" s="6">
        <v>4318.7299999999996</v>
      </c>
      <c r="H29" s="6">
        <v>3629</v>
      </c>
    </row>
    <row r="30" spans="1:8" x14ac:dyDescent="0.3">
      <c r="A30" s="12"/>
      <c r="B30" s="1"/>
      <c r="C30" s="6"/>
      <c r="D30" s="6"/>
      <c r="E30" s="6"/>
      <c r="F30" s="6"/>
      <c r="G30" s="6"/>
      <c r="H30" s="6"/>
    </row>
    <row r="31" spans="1:8" x14ac:dyDescent="0.3">
      <c r="A31" s="4" t="s">
        <v>93</v>
      </c>
      <c r="B31" s="1"/>
      <c r="C31" s="8"/>
      <c r="D31" s="8"/>
      <c r="E31" s="8"/>
      <c r="F31" s="8"/>
      <c r="G31" s="8"/>
      <c r="H31" s="8"/>
    </row>
    <row r="32" spans="1:8" x14ac:dyDescent="0.3">
      <c r="A32" s="12" t="s">
        <v>94</v>
      </c>
      <c r="B32" s="11" t="s">
        <v>95</v>
      </c>
      <c r="C32" s="8">
        <f>C25-C28</f>
        <v>29559.17</v>
      </c>
      <c r="D32" s="8">
        <f t="shared" ref="D32:G32" si="6">D25-D28</f>
        <v>27375.14</v>
      </c>
      <c r="E32" s="8">
        <f t="shared" si="6"/>
        <v>25931.48</v>
      </c>
      <c r="F32" s="8">
        <f t="shared" si="6"/>
        <v>22068.739999999998</v>
      </c>
      <c r="G32" s="8">
        <f t="shared" si="6"/>
        <v>24302.309999999998</v>
      </c>
      <c r="H32" s="8">
        <f>H25-H28</f>
        <v>29945.579999999998</v>
      </c>
    </row>
    <row r="33" spans="1:8" x14ac:dyDescent="0.3">
      <c r="A33" s="12" t="s">
        <v>96</v>
      </c>
      <c r="B33" s="11" t="s">
        <v>103</v>
      </c>
      <c r="C33" s="8">
        <f>(C26+D26)/2</f>
        <v>15069.509999999998</v>
      </c>
      <c r="D33" s="8">
        <f>(D26+E26)/2</f>
        <v>13108.504999999999</v>
      </c>
      <c r="E33" s="8">
        <f>(E26+F26)/2</f>
        <v>11443.86</v>
      </c>
      <c r="F33" s="8">
        <f>(F26+G26)/2</f>
        <v>10740.404999999999</v>
      </c>
      <c r="G33" s="8">
        <f>(G26+H26)/2</f>
        <v>9736.11</v>
      </c>
      <c r="H33" s="8"/>
    </row>
    <row r="34" spans="1:8" x14ac:dyDescent="0.3">
      <c r="A34" s="12" t="s">
        <v>97</v>
      </c>
      <c r="B34" s="11" t="s">
        <v>104</v>
      </c>
      <c r="C34" s="2">
        <f>(C27+D27)/2</f>
        <v>4372.7449999999999</v>
      </c>
      <c r="D34" s="2">
        <f t="shared" ref="D34:G34" si="7">(D27+E27)/2</f>
        <v>3490.9949999999999</v>
      </c>
      <c r="E34" s="2">
        <f t="shared" si="7"/>
        <v>2709.0349999999999</v>
      </c>
      <c r="F34" s="2">
        <f t="shared" si="7"/>
        <v>2481.8000000000002</v>
      </c>
      <c r="G34" s="2">
        <f t="shared" si="7"/>
        <v>2531.85</v>
      </c>
    </row>
    <row r="35" spans="1:8" x14ac:dyDescent="0.3">
      <c r="A35" s="12" t="s">
        <v>98</v>
      </c>
      <c r="B35" s="11" t="s">
        <v>102</v>
      </c>
      <c r="C35" s="8">
        <f>(C29+D29)/2</f>
        <v>4802.5650000000005</v>
      </c>
      <c r="D35" s="8">
        <f t="shared" ref="D35:G35" si="8">(D29+E29)/2</f>
        <v>4728.41</v>
      </c>
      <c r="E35" s="8">
        <f t="shared" si="8"/>
        <v>4538.125</v>
      </c>
      <c r="F35" s="8">
        <f t="shared" si="8"/>
        <v>4367.9949999999999</v>
      </c>
      <c r="G35" s="8">
        <f t="shared" si="8"/>
        <v>3973.8649999999998</v>
      </c>
      <c r="H35" s="8"/>
    </row>
    <row r="36" spans="1:8" x14ac:dyDescent="0.3">
      <c r="A36" s="12" t="s">
        <v>105</v>
      </c>
      <c r="B36" s="11" t="s">
        <v>99</v>
      </c>
      <c r="C36" s="8">
        <f>(C33/C24)*365</f>
        <v>173.31733302159324</v>
      </c>
      <c r="D36" s="8">
        <f t="shared" ref="D36:F36" si="9">(D33/D24)*365</f>
        <v>177.32512758458387</v>
      </c>
      <c r="E36" s="8">
        <f t="shared" si="9"/>
        <v>144.63237071237091</v>
      </c>
      <c r="F36" s="8">
        <f t="shared" si="9"/>
        <v>149.4422886173345</v>
      </c>
      <c r="G36" s="8">
        <f>(G33/G24)*365</f>
        <v>177.91529738660259</v>
      </c>
      <c r="H36" s="8"/>
    </row>
    <row r="37" spans="1:8" x14ac:dyDescent="0.3">
      <c r="A37" s="12" t="s">
        <v>106</v>
      </c>
      <c r="B37" s="11" t="s">
        <v>100</v>
      </c>
      <c r="C37" s="8">
        <f>(C34/C23)*365</f>
        <v>23.023238361237283</v>
      </c>
      <c r="D37" s="8">
        <f>(D34/D23)*365</f>
        <v>19.471231713054895</v>
      </c>
      <c r="E37" s="8">
        <f>(E34/E23)*365</f>
        <v>14.97196875624117</v>
      </c>
      <c r="F37" s="8">
        <f>(F34/F23)*365</f>
        <v>16.078036579580122</v>
      </c>
      <c r="G37" s="8">
        <f>(G34/G23)*365</f>
        <v>20.317084946223087</v>
      </c>
      <c r="H37" s="8"/>
    </row>
    <row r="38" spans="1:8" x14ac:dyDescent="0.3">
      <c r="A38" s="12" t="s">
        <v>107</v>
      </c>
      <c r="B38" s="11" t="s">
        <v>101</v>
      </c>
      <c r="C38" s="8">
        <f>(C35/C24)*365</f>
        <v>55.23522380374996</v>
      </c>
      <c r="D38" s="8">
        <f>(D35/D24)*365</f>
        <v>63.963503582004371</v>
      </c>
      <c r="E38" s="8">
        <f t="shared" ref="E38:G38" si="10">(E35/E24)*365</f>
        <v>57.354754194745318</v>
      </c>
      <c r="F38" s="8">
        <f t="shared" si="10"/>
        <v>60.776401771541586</v>
      </c>
      <c r="G38" s="8">
        <f t="shared" si="10"/>
        <v>72.617438920596769</v>
      </c>
      <c r="H38" s="8"/>
    </row>
    <row r="39" spans="1:8" x14ac:dyDescent="0.3">
      <c r="A39" s="12" t="s">
        <v>109</v>
      </c>
      <c r="B39" s="11" t="s">
        <v>108</v>
      </c>
      <c r="C39" s="8">
        <f>C36+C37-C38</f>
        <v>141.10534757908056</v>
      </c>
      <c r="D39" s="8">
        <f t="shared" ref="D39" si="11">D36+D37-D38</f>
        <v>132.83285571563439</v>
      </c>
      <c r="E39" s="8">
        <f t="shared" ref="E39" si="12">E36+E37-E38</f>
        <v>102.24958527386678</v>
      </c>
      <c r="F39" s="8">
        <f t="shared" ref="F39" si="13">F36+F37-F38</f>
        <v>104.74392342537304</v>
      </c>
      <c r="G39" s="8">
        <f t="shared" ref="G39" si="14">G36+G37-G38</f>
        <v>125.6149434122289</v>
      </c>
      <c r="H39" s="8"/>
    </row>
    <row r="40" spans="1:8" x14ac:dyDescent="0.3">
      <c r="A40" s="12"/>
      <c r="B40" s="1"/>
      <c r="C40" s="6"/>
      <c r="D40" s="6"/>
      <c r="E40" s="6"/>
      <c r="F40" s="6"/>
      <c r="G40" s="6"/>
      <c r="H40" s="6"/>
    </row>
    <row r="41" spans="1:8" x14ac:dyDescent="0.3">
      <c r="A41" s="26" t="s">
        <v>13</v>
      </c>
      <c r="B41" s="26"/>
      <c r="C41" s="26"/>
      <c r="D41" s="26"/>
      <c r="E41" s="26"/>
      <c r="F41" s="26"/>
      <c r="G41" s="26"/>
      <c r="H41" s="26"/>
    </row>
    <row r="42" spans="1:8" x14ac:dyDescent="0.3">
      <c r="A42" s="11" t="s">
        <v>10</v>
      </c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12</v>
      </c>
    </row>
    <row r="43" spans="1:8" x14ac:dyDescent="0.3">
      <c r="A43" s="12" t="s">
        <v>8</v>
      </c>
      <c r="B43" s="3"/>
      <c r="C43" s="6">
        <v>20077.5</v>
      </c>
      <c r="D43" s="6">
        <v>24275.48</v>
      </c>
      <c r="E43" s="6">
        <v>19021.05</v>
      </c>
      <c r="F43" s="6">
        <v>16789.53</v>
      </c>
      <c r="G43" s="6">
        <v>14633.72</v>
      </c>
      <c r="H43" s="7">
        <v>13290.16</v>
      </c>
    </row>
    <row r="44" spans="1:8" x14ac:dyDescent="0.3">
      <c r="A44" s="12" t="s">
        <v>11</v>
      </c>
      <c r="B44" s="3"/>
      <c r="C44" s="7">
        <v>8749.7999999999993</v>
      </c>
      <c r="D44" s="7">
        <v>10708.57</v>
      </c>
      <c r="E44" s="7">
        <v>8432.7099999999991</v>
      </c>
      <c r="F44" s="7">
        <v>7749.8599999999988</v>
      </c>
      <c r="G44" s="7">
        <v>6318.920000000001</v>
      </c>
      <c r="H44" s="7">
        <f>5554.24+189-69</f>
        <v>5674.24</v>
      </c>
    </row>
    <row r="45" spans="1:8" x14ac:dyDescent="0.3">
      <c r="A45" s="12" t="s">
        <v>28</v>
      </c>
      <c r="B45" s="3"/>
      <c r="C45" s="7">
        <v>3734.16</v>
      </c>
      <c r="D45" s="7">
        <v>3494.72</v>
      </c>
      <c r="E45" s="7">
        <v>3593.77</v>
      </c>
      <c r="F45" s="7">
        <v>3490.15</v>
      </c>
      <c r="G45" s="7">
        <v>2738.76</v>
      </c>
      <c r="H45" s="25">
        <v>4185</v>
      </c>
    </row>
    <row r="46" spans="1:8" x14ac:dyDescent="0.3">
      <c r="A46" s="12" t="s">
        <v>5</v>
      </c>
      <c r="B46" s="1"/>
      <c r="C46" s="6">
        <v>2850.14</v>
      </c>
      <c r="D46" s="6">
        <v>2089.36</v>
      </c>
      <c r="E46" s="6">
        <v>1873.26</v>
      </c>
      <c r="F46" s="6">
        <v>1928.77</v>
      </c>
      <c r="G46" s="6">
        <v>1580.22</v>
      </c>
      <c r="H46" s="25">
        <v>1416</v>
      </c>
    </row>
    <row r="47" spans="1:8" x14ac:dyDescent="0.3">
      <c r="A47" s="12" t="s">
        <v>6</v>
      </c>
      <c r="B47" s="1"/>
      <c r="C47" s="6">
        <v>363.15</v>
      </c>
      <c r="D47" s="6">
        <v>300.45999999999998</v>
      </c>
      <c r="E47" s="6">
        <v>202.57</v>
      </c>
      <c r="F47" s="6">
        <v>191.89</v>
      </c>
      <c r="G47" s="6">
        <v>165.27</v>
      </c>
      <c r="H47" s="25">
        <v>164.93</v>
      </c>
    </row>
    <row r="48" spans="1:8" x14ac:dyDescent="0.3">
      <c r="A48" s="12" t="s">
        <v>29</v>
      </c>
      <c r="B48" s="3"/>
      <c r="C48" s="7">
        <v>4685.3500000000004</v>
      </c>
      <c r="D48" s="7">
        <v>3956.07</v>
      </c>
      <c r="E48" s="7">
        <v>3790.64</v>
      </c>
      <c r="F48" s="7">
        <v>3079.75</v>
      </c>
      <c r="G48" s="7">
        <v>2603.2399999999998</v>
      </c>
      <c r="H48" s="25">
        <v>2492</v>
      </c>
    </row>
    <row r="49" spans="1:8" x14ac:dyDescent="0.3">
      <c r="A49" s="12" t="s">
        <v>7</v>
      </c>
      <c r="B49" s="1"/>
      <c r="C49" s="6">
        <v>2623.81</v>
      </c>
      <c r="D49" s="6">
        <v>2812.01</v>
      </c>
      <c r="E49" s="6">
        <v>2454</v>
      </c>
      <c r="F49" s="6">
        <v>2120.94</v>
      </c>
      <c r="G49" s="6">
        <v>1889.66</v>
      </c>
      <c r="H49" s="25">
        <v>1809.01</v>
      </c>
    </row>
    <row r="50" spans="1:8" x14ac:dyDescent="0.3">
      <c r="A50" s="12"/>
      <c r="B50" s="1"/>
      <c r="C50" s="6"/>
      <c r="D50" s="6"/>
      <c r="E50" s="6"/>
      <c r="F50" s="6"/>
      <c r="G50" s="6"/>
      <c r="H50" s="7"/>
    </row>
    <row r="51" spans="1:8" x14ac:dyDescent="0.3">
      <c r="A51" s="4" t="s">
        <v>93</v>
      </c>
      <c r="B51" s="1"/>
      <c r="C51" s="8"/>
      <c r="D51" s="8"/>
      <c r="E51" s="8"/>
      <c r="F51" s="8"/>
      <c r="G51" s="8"/>
      <c r="H51" s="8"/>
    </row>
    <row r="52" spans="1:8" x14ac:dyDescent="0.3">
      <c r="A52" s="12" t="s">
        <v>94</v>
      </c>
      <c r="B52" s="11" t="s">
        <v>95</v>
      </c>
      <c r="C52" s="8">
        <f>C45-C48</f>
        <v>-951.19000000000051</v>
      </c>
      <c r="D52" s="8">
        <f t="shared" ref="D52:G52" si="15">D45-D48</f>
        <v>-461.35000000000036</v>
      </c>
      <c r="E52" s="8">
        <f t="shared" si="15"/>
        <v>-196.86999999999989</v>
      </c>
      <c r="F52" s="8">
        <f t="shared" si="15"/>
        <v>410.40000000000009</v>
      </c>
      <c r="G52" s="8">
        <f t="shared" si="15"/>
        <v>135.52000000000044</v>
      </c>
      <c r="H52" s="8">
        <f>H45-H48</f>
        <v>1693</v>
      </c>
    </row>
    <row r="53" spans="1:8" x14ac:dyDescent="0.3">
      <c r="A53" s="12" t="s">
        <v>96</v>
      </c>
      <c r="B53" s="11" t="s">
        <v>103</v>
      </c>
      <c r="C53" s="8">
        <f>(C46+D46)/2</f>
        <v>2469.75</v>
      </c>
      <c r="D53" s="8">
        <f>(D46+E46)/2</f>
        <v>1981.31</v>
      </c>
      <c r="E53" s="8">
        <f>(E46+F46)/2</f>
        <v>1901.0149999999999</v>
      </c>
      <c r="F53" s="8">
        <f>(F46+G46)/2</f>
        <v>1754.4949999999999</v>
      </c>
      <c r="G53" s="8">
        <f>(G46+H46)/2</f>
        <v>1498.1100000000001</v>
      </c>
      <c r="H53" s="8"/>
    </row>
    <row r="54" spans="1:8" x14ac:dyDescent="0.3">
      <c r="A54" s="12" t="s">
        <v>97</v>
      </c>
      <c r="B54" s="11" t="s">
        <v>104</v>
      </c>
      <c r="C54" s="2">
        <f>(C47+D47)/2</f>
        <v>331.80499999999995</v>
      </c>
      <c r="D54" s="2">
        <f t="shared" ref="D54:G54" si="16">(D47+E47)/2</f>
        <v>251.51499999999999</v>
      </c>
      <c r="E54" s="2">
        <f t="shared" si="16"/>
        <v>197.23</v>
      </c>
      <c r="F54" s="2">
        <f t="shared" si="16"/>
        <v>178.57999999999998</v>
      </c>
      <c r="G54" s="2">
        <f t="shared" si="16"/>
        <v>165.10000000000002</v>
      </c>
    </row>
    <row r="55" spans="1:8" x14ac:dyDescent="0.3">
      <c r="A55" s="12" t="s">
        <v>98</v>
      </c>
      <c r="B55" s="11" t="s">
        <v>102</v>
      </c>
      <c r="C55" s="8">
        <f>(C49+D49)/2</f>
        <v>2717.91</v>
      </c>
      <c r="D55" s="8">
        <f t="shared" ref="D55:G55" si="17">(D49+E49)/2</f>
        <v>2633.0050000000001</v>
      </c>
      <c r="E55" s="8">
        <f t="shared" si="17"/>
        <v>2287.4700000000003</v>
      </c>
      <c r="F55" s="8">
        <f t="shared" si="17"/>
        <v>2005.3000000000002</v>
      </c>
      <c r="G55" s="8">
        <f t="shared" si="17"/>
        <v>1849.335</v>
      </c>
      <c r="H55" s="8"/>
    </row>
    <row r="56" spans="1:8" x14ac:dyDescent="0.3">
      <c r="A56" s="12" t="s">
        <v>105</v>
      </c>
      <c r="B56" s="11" t="s">
        <v>99</v>
      </c>
      <c r="C56" s="8">
        <f>(C53/C44)*365</f>
        <v>103.02621202770351</v>
      </c>
      <c r="D56" s="8">
        <f t="shared" ref="D56:F56" si="18">(D53/D44)*365</f>
        <v>67.532653753022117</v>
      </c>
      <c r="E56" s="8">
        <f t="shared" si="18"/>
        <v>82.283213225641589</v>
      </c>
      <c r="F56" s="8">
        <f t="shared" si="18"/>
        <v>82.632547555697784</v>
      </c>
      <c r="G56" s="8">
        <f>(G53/G44)*365</f>
        <v>86.535381046128123</v>
      </c>
      <c r="H56" s="8"/>
    </row>
    <row r="57" spans="1:8" x14ac:dyDescent="0.3">
      <c r="A57" s="12" t="s">
        <v>106</v>
      </c>
      <c r="B57" s="11" t="s">
        <v>100</v>
      </c>
      <c r="C57" s="8">
        <f>(C54/C43)*365</f>
        <v>6.0320669904121527</v>
      </c>
      <c r="D57" s="8">
        <f>(D54/D43)*365</f>
        <v>3.7817161596804674</v>
      </c>
      <c r="E57" s="8">
        <f>(E54/E43)*365</f>
        <v>3.7846990570972685</v>
      </c>
      <c r="F57" s="8">
        <f>(F54/F43)*365</f>
        <v>3.8822825892088697</v>
      </c>
      <c r="G57" s="8">
        <f>(G54/G43)*365</f>
        <v>4.1179891374168704</v>
      </c>
      <c r="H57" s="8"/>
    </row>
    <row r="58" spans="1:8" x14ac:dyDescent="0.3">
      <c r="A58" s="12" t="s">
        <v>107</v>
      </c>
      <c r="B58" s="11" t="s">
        <v>101</v>
      </c>
      <c r="C58" s="8">
        <f>(C55/C44)*365</f>
        <v>113.37826578893232</v>
      </c>
      <c r="D58" s="8">
        <f>(D55/D44)*365</f>
        <v>89.745579942046419</v>
      </c>
      <c r="E58" s="8">
        <f t="shared" ref="E58:G58" si="19">(E55/E44)*365</f>
        <v>99.010466386250712</v>
      </c>
      <c r="F58" s="8">
        <f t="shared" si="19"/>
        <v>94.444867391152897</v>
      </c>
      <c r="G58" s="8">
        <f t="shared" si="19"/>
        <v>106.8232031739601</v>
      </c>
      <c r="H58" s="8"/>
    </row>
    <row r="59" spans="1:8" x14ac:dyDescent="0.3">
      <c r="A59" s="12" t="s">
        <v>109</v>
      </c>
      <c r="B59" s="11" t="s">
        <v>108</v>
      </c>
      <c r="C59" s="8">
        <f>C56+C57-C58</f>
        <v>-4.3199867708166693</v>
      </c>
      <c r="D59" s="8">
        <f t="shared" ref="D59" si="20">D56+D57-D58</f>
        <v>-18.431210029343831</v>
      </c>
      <c r="E59" s="8">
        <f t="shared" ref="E59" si="21">E56+E57-E58</f>
        <v>-12.942554103511853</v>
      </c>
      <c r="F59" s="8">
        <f t="shared" ref="F59" si="22">F56+F57-F58</f>
        <v>-7.9300372462462434</v>
      </c>
      <c r="G59" s="8">
        <f t="shared" ref="G59" si="23">G56+G57-G58</f>
        <v>-16.169832990415102</v>
      </c>
      <c r="H59" s="8"/>
    </row>
    <row r="60" spans="1:8" x14ac:dyDescent="0.3">
      <c r="B60" s="2"/>
      <c r="C60" s="2"/>
      <c r="D60" s="2"/>
      <c r="E60" s="2"/>
      <c r="F60" s="2"/>
      <c r="G60" s="2"/>
      <c r="H60" s="2"/>
    </row>
    <row r="61" spans="1:8" x14ac:dyDescent="0.3">
      <c r="A61" s="26" t="s">
        <v>14</v>
      </c>
      <c r="B61" s="26"/>
      <c r="C61" s="26"/>
      <c r="D61" s="26"/>
      <c r="E61" s="26"/>
      <c r="F61" s="26"/>
      <c r="G61" s="26"/>
      <c r="H61" s="26"/>
    </row>
    <row r="62" spans="1:8" x14ac:dyDescent="0.3">
      <c r="A62" s="11" t="s">
        <v>10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  <c r="G62" s="1" t="s">
        <v>19</v>
      </c>
      <c r="H62" s="1" t="s">
        <v>20</v>
      </c>
    </row>
    <row r="63" spans="1:8" x14ac:dyDescent="0.3">
      <c r="A63" s="12" t="s">
        <v>8</v>
      </c>
      <c r="B63" s="3"/>
      <c r="C63" s="6">
        <v>21685.38</v>
      </c>
      <c r="D63" s="6">
        <v>20007.650000000001</v>
      </c>
      <c r="E63" s="6">
        <v>16042.58</v>
      </c>
      <c r="F63" s="6">
        <v>13173.14</v>
      </c>
      <c r="G63" s="6">
        <v>8823.23</v>
      </c>
      <c r="H63" s="6">
        <v>6360</v>
      </c>
    </row>
    <row r="64" spans="1:8" x14ac:dyDescent="0.3">
      <c r="A64" s="12" t="s">
        <v>11</v>
      </c>
      <c r="B64" s="3"/>
      <c r="C64" s="6">
        <v>9715.42</v>
      </c>
      <c r="D64" s="6">
        <v>8904.7199999999993</v>
      </c>
      <c r="E64" s="6">
        <v>7404.8899999999994</v>
      </c>
      <c r="F64" s="6">
        <v>6261.15</v>
      </c>
      <c r="G64" s="6">
        <v>4034.6600000000003</v>
      </c>
      <c r="H64" s="7">
        <f>2688+92-17</f>
        <v>2763</v>
      </c>
    </row>
    <row r="65" spans="1:8" x14ac:dyDescent="0.3">
      <c r="A65" s="12" t="s">
        <v>28</v>
      </c>
      <c r="B65" s="3"/>
      <c r="C65" s="6">
        <v>7896.04</v>
      </c>
      <c r="D65" s="6">
        <v>7863.97</v>
      </c>
      <c r="E65" s="6">
        <v>4235.63</v>
      </c>
      <c r="F65" s="6">
        <v>3404.03</v>
      </c>
      <c r="G65" s="6">
        <v>2546.11</v>
      </c>
      <c r="H65" s="7">
        <v>1800</v>
      </c>
    </row>
    <row r="66" spans="1:8" x14ac:dyDescent="0.3">
      <c r="A66" s="12" t="s">
        <v>5</v>
      </c>
      <c r="B66" s="1"/>
      <c r="C66" s="6">
        <v>2951.79</v>
      </c>
      <c r="D66" s="6">
        <v>2791.23</v>
      </c>
      <c r="E66" s="6">
        <v>2150.5300000000002</v>
      </c>
      <c r="F66" s="6">
        <v>1993.89</v>
      </c>
      <c r="G66" s="6">
        <v>1448.09</v>
      </c>
      <c r="H66" s="6">
        <v>928</v>
      </c>
    </row>
    <row r="67" spans="1:8" x14ac:dyDescent="0.3">
      <c r="A67" s="12" t="s">
        <v>6</v>
      </c>
      <c r="B67" s="1"/>
      <c r="C67" s="6">
        <v>1249.03</v>
      </c>
      <c r="D67" s="6">
        <v>845.84</v>
      </c>
      <c r="E67" s="6">
        <v>359.39</v>
      </c>
      <c r="F67" s="6">
        <v>299.33999999999997</v>
      </c>
      <c r="G67" s="6">
        <v>221.25</v>
      </c>
      <c r="H67" s="6">
        <v>241.8</v>
      </c>
    </row>
    <row r="68" spans="1:8" x14ac:dyDescent="0.3">
      <c r="A68" s="12" t="s">
        <v>29</v>
      </c>
      <c r="B68" s="3"/>
      <c r="C68" s="6">
        <v>4073.95</v>
      </c>
      <c r="D68" s="6">
        <v>4524.43</v>
      </c>
      <c r="E68" s="6">
        <v>4153.21</v>
      </c>
      <c r="F68" s="6">
        <v>3968.75</v>
      </c>
      <c r="G68" s="6">
        <v>3020.25</v>
      </c>
      <c r="H68" s="7">
        <v>2435</v>
      </c>
    </row>
    <row r="69" spans="1:8" x14ac:dyDescent="0.3">
      <c r="A69" s="12" t="s">
        <v>7</v>
      </c>
      <c r="B69" s="1"/>
      <c r="C69" s="6">
        <v>1401.3</v>
      </c>
      <c r="D69" s="6">
        <v>1560.43</v>
      </c>
      <c r="E69" s="6">
        <v>758.25</v>
      </c>
      <c r="F69" s="6">
        <v>824.26</v>
      </c>
      <c r="G69" s="6">
        <v>711.75</v>
      </c>
      <c r="H69" s="6">
        <v>511.39</v>
      </c>
    </row>
    <row r="70" spans="1:8" x14ac:dyDescent="0.3">
      <c r="A70" s="12"/>
      <c r="B70" s="1"/>
      <c r="C70" s="6"/>
      <c r="D70" s="6"/>
      <c r="E70" s="6"/>
      <c r="F70" s="6"/>
      <c r="G70" s="6"/>
      <c r="H70" s="6"/>
    </row>
    <row r="71" spans="1:8" x14ac:dyDescent="0.3">
      <c r="A71" s="4" t="s">
        <v>93</v>
      </c>
      <c r="B71" s="1"/>
      <c r="C71" s="8"/>
      <c r="D71" s="8"/>
      <c r="E71" s="8"/>
      <c r="F71" s="8"/>
      <c r="G71" s="8"/>
      <c r="H71" s="8"/>
    </row>
    <row r="72" spans="1:8" x14ac:dyDescent="0.3">
      <c r="A72" s="12" t="s">
        <v>94</v>
      </c>
      <c r="B72" s="11" t="s">
        <v>95</v>
      </c>
      <c r="C72" s="8">
        <f>C65-C68</f>
        <v>3822.09</v>
      </c>
      <c r="D72" s="8">
        <f t="shared" ref="D72:G72" si="24">D65-D68</f>
        <v>3339.54</v>
      </c>
      <c r="E72" s="8">
        <f t="shared" si="24"/>
        <v>82.420000000000073</v>
      </c>
      <c r="F72" s="8">
        <f t="shared" si="24"/>
        <v>-564.7199999999998</v>
      </c>
      <c r="G72" s="8">
        <f t="shared" si="24"/>
        <v>-474.13999999999987</v>
      </c>
      <c r="H72" s="8">
        <f>H65-H68</f>
        <v>-635</v>
      </c>
    </row>
    <row r="73" spans="1:8" x14ac:dyDescent="0.3">
      <c r="A73" s="12" t="s">
        <v>96</v>
      </c>
      <c r="B73" s="11" t="s">
        <v>103</v>
      </c>
      <c r="C73" s="8">
        <f>(C66+D66)/2</f>
        <v>2871.51</v>
      </c>
      <c r="D73" s="8">
        <f>(D66+E66)/2</f>
        <v>2470.88</v>
      </c>
      <c r="E73" s="8">
        <f>(E66+F66)/2</f>
        <v>2072.21</v>
      </c>
      <c r="F73" s="8">
        <f>(F66+G66)/2</f>
        <v>1720.99</v>
      </c>
      <c r="G73" s="8">
        <f>(G66+H66)/2</f>
        <v>1188.0450000000001</v>
      </c>
      <c r="H73" s="8"/>
    </row>
    <row r="74" spans="1:8" x14ac:dyDescent="0.3">
      <c r="A74" s="12" t="s">
        <v>97</v>
      </c>
      <c r="B74" s="11" t="s">
        <v>104</v>
      </c>
      <c r="C74" s="2">
        <f>(C67+D67)/2</f>
        <v>1047.4349999999999</v>
      </c>
      <c r="D74" s="2">
        <f t="shared" ref="D74:G74" si="25">(D67+E67)/2</f>
        <v>602.61500000000001</v>
      </c>
      <c r="E74" s="2">
        <f t="shared" si="25"/>
        <v>329.36500000000001</v>
      </c>
      <c r="F74" s="2">
        <f t="shared" si="25"/>
        <v>260.29499999999996</v>
      </c>
      <c r="G74" s="2">
        <f t="shared" si="25"/>
        <v>231.52500000000001</v>
      </c>
    </row>
    <row r="75" spans="1:8" x14ac:dyDescent="0.3">
      <c r="A75" s="12" t="s">
        <v>98</v>
      </c>
      <c r="B75" s="11" t="s">
        <v>102</v>
      </c>
      <c r="C75" s="8">
        <f>(C69+D69)/2</f>
        <v>1480.865</v>
      </c>
      <c r="D75" s="8">
        <f t="shared" ref="D75:G75" si="26">(D69+E69)/2</f>
        <v>1159.3400000000001</v>
      </c>
      <c r="E75" s="8">
        <f t="shared" si="26"/>
        <v>791.255</v>
      </c>
      <c r="F75" s="8">
        <f t="shared" si="26"/>
        <v>768.005</v>
      </c>
      <c r="G75" s="8">
        <f t="shared" si="26"/>
        <v>611.56999999999994</v>
      </c>
      <c r="H75" s="8"/>
    </row>
    <row r="76" spans="1:8" x14ac:dyDescent="0.3">
      <c r="A76" s="12" t="s">
        <v>105</v>
      </c>
      <c r="B76" s="11" t="s">
        <v>99</v>
      </c>
      <c r="C76" s="8">
        <f>(C73/C64)*365</f>
        <v>107.88016884499076</v>
      </c>
      <c r="D76" s="8">
        <f t="shared" ref="D76:F76" si="27">(D73/D64)*365</f>
        <v>101.28013008831272</v>
      </c>
      <c r="E76" s="8">
        <f t="shared" si="27"/>
        <v>102.1428610013113</v>
      </c>
      <c r="F76" s="8">
        <f t="shared" si="27"/>
        <v>100.32683293005279</v>
      </c>
      <c r="G76" s="8">
        <f>(G73/G64)*365</f>
        <v>107.47781101753307</v>
      </c>
      <c r="H76" s="8"/>
    </row>
    <row r="77" spans="1:8" x14ac:dyDescent="0.3">
      <c r="A77" s="12" t="s">
        <v>106</v>
      </c>
      <c r="B77" s="11" t="s">
        <v>100</v>
      </c>
      <c r="C77" s="8">
        <f>(C74/C63)*365</f>
        <v>17.63002423752777</v>
      </c>
      <c r="D77" s="8">
        <f>(D74/D63)*365</f>
        <v>10.993518729086123</v>
      </c>
      <c r="E77" s="8">
        <f>(E74/E63)*365</f>
        <v>7.4936964627884048</v>
      </c>
      <c r="F77" s="8">
        <f>(F74/F63)*365</f>
        <v>7.212226925395159</v>
      </c>
      <c r="G77" s="8">
        <f>(G74/G63)*365</f>
        <v>9.5777425047289952</v>
      </c>
      <c r="H77" s="8"/>
    </row>
    <row r="78" spans="1:8" x14ac:dyDescent="0.3">
      <c r="A78" s="12" t="s">
        <v>107</v>
      </c>
      <c r="B78" s="11" t="s">
        <v>101</v>
      </c>
      <c r="C78" s="8">
        <f>(C75/C64)*365</f>
        <v>55.634828447972396</v>
      </c>
      <c r="D78" s="8">
        <f>(D75/D64)*365</f>
        <v>47.520764268837212</v>
      </c>
      <c r="E78" s="8">
        <f t="shared" ref="E78:G78" si="28">(E75/E64)*365</f>
        <v>39.002345071972712</v>
      </c>
      <c r="F78" s="8">
        <f t="shared" si="28"/>
        <v>44.77161943093521</v>
      </c>
      <c r="G78" s="8">
        <f t="shared" si="28"/>
        <v>55.326359594116965</v>
      </c>
      <c r="H78" s="8"/>
    </row>
    <row r="79" spans="1:8" x14ac:dyDescent="0.3">
      <c r="A79" s="12" t="s">
        <v>109</v>
      </c>
      <c r="B79" s="11" t="s">
        <v>108</v>
      </c>
      <c r="C79" s="8">
        <f>C76+C77-C78</f>
        <v>69.875364634546131</v>
      </c>
      <c r="D79" s="8">
        <f t="shared" ref="D79" si="29">D76+D77-D78</f>
        <v>64.752884548561624</v>
      </c>
      <c r="E79" s="8">
        <f t="shared" ref="E79" si="30">E76+E77-E78</f>
        <v>70.634212392126997</v>
      </c>
      <c r="F79" s="8">
        <f t="shared" ref="F79" si="31">F76+F77-F78</f>
        <v>62.767440424512735</v>
      </c>
      <c r="G79" s="8">
        <f t="shared" ref="G79" si="32">G76+G77-G78</f>
        <v>61.729193928145108</v>
      </c>
      <c r="H79" s="8"/>
    </row>
    <row r="80" spans="1:8" x14ac:dyDescent="0.3">
      <c r="B80" s="2"/>
      <c r="C80" s="2"/>
      <c r="D80" s="2"/>
      <c r="E80" s="2"/>
      <c r="F80" s="2"/>
      <c r="G80" s="2"/>
      <c r="H80" s="2"/>
    </row>
    <row r="81" spans="1:8" x14ac:dyDescent="0.3">
      <c r="A81" s="26" t="s">
        <v>21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11" t="s">
        <v>10</v>
      </c>
      <c r="B82" s="1"/>
      <c r="C82" s="1" t="s">
        <v>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12</v>
      </c>
    </row>
    <row r="83" spans="1:8" x14ac:dyDescent="0.3">
      <c r="A83" s="12" t="s">
        <v>8</v>
      </c>
      <c r="B83" s="3"/>
      <c r="C83" s="6">
        <v>17942.669999999998</v>
      </c>
      <c r="D83" s="6">
        <v>16769.27</v>
      </c>
      <c r="E83" s="6">
        <v>16300.55</v>
      </c>
      <c r="F83" s="6">
        <v>14136.26</v>
      </c>
      <c r="G83" s="6">
        <v>13136.14</v>
      </c>
      <c r="H83" s="7">
        <v>11599.55</v>
      </c>
    </row>
    <row r="84" spans="1:8" x14ac:dyDescent="0.3">
      <c r="A84" s="12" t="s">
        <v>11</v>
      </c>
      <c r="B84" s="3"/>
      <c r="C84" s="6">
        <v>10604.050000000001</v>
      </c>
      <c r="D84" s="6">
        <v>9492.0299999999988</v>
      </c>
      <c r="E84" s="6">
        <v>9591.3000000000011</v>
      </c>
      <c r="F84" s="6">
        <v>8760.2999999999993</v>
      </c>
      <c r="G84" s="6">
        <v>7626.1</v>
      </c>
      <c r="H84" s="7">
        <f>5684+1189+53</f>
        <v>6926</v>
      </c>
    </row>
    <row r="85" spans="1:8" x14ac:dyDescent="0.3">
      <c r="A85" s="12" t="s">
        <v>28</v>
      </c>
      <c r="B85" s="2"/>
      <c r="C85" s="7">
        <v>3913.68</v>
      </c>
      <c r="D85" s="7">
        <v>4848.66</v>
      </c>
      <c r="E85" s="7">
        <v>4746.2299999999996</v>
      </c>
      <c r="F85" s="7">
        <v>3970.42</v>
      </c>
      <c r="G85" s="7">
        <v>4419.68</v>
      </c>
      <c r="H85" s="7">
        <v>3674.97</v>
      </c>
    </row>
    <row r="86" spans="1:8" x14ac:dyDescent="0.3">
      <c r="A86" s="12" t="s">
        <v>5</v>
      </c>
      <c r="B86" s="1"/>
      <c r="C86" s="6">
        <v>1236.51</v>
      </c>
      <c r="D86" s="6">
        <v>1181.22</v>
      </c>
      <c r="E86" s="6">
        <v>1193.26</v>
      </c>
      <c r="F86" s="6">
        <v>1367.49</v>
      </c>
      <c r="G86" s="6">
        <v>1091.49</v>
      </c>
      <c r="H86" s="6">
        <v>740.96</v>
      </c>
    </row>
    <row r="87" spans="1:8" x14ac:dyDescent="0.3">
      <c r="A87" s="12" t="s">
        <v>6</v>
      </c>
      <c r="B87" s="1"/>
      <c r="C87" s="6">
        <v>448.61</v>
      </c>
      <c r="D87" s="6">
        <v>393.33</v>
      </c>
      <c r="E87" s="6">
        <v>328.94</v>
      </c>
      <c r="F87" s="6">
        <v>331.93</v>
      </c>
      <c r="G87" s="6">
        <v>257.27</v>
      </c>
      <c r="H87" s="6">
        <v>320.36</v>
      </c>
    </row>
    <row r="88" spans="1:8" x14ac:dyDescent="0.3">
      <c r="A88" s="12" t="s">
        <v>29</v>
      </c>
      <c r="B88" s="2"/>
      <c r="C88" s="7">
        <v>3618.26</v>
      </c>
      <c r="D88" s="7">
        <v>4084.41</v>
      </c>
      <c r="E88" s="7">
        <v>4134.3999999999996</v>
      </c>
      <c r="F88" s="7">
        <v>4155.7299999999996</v>
      </c>
      <c r="G88" s="7">
        <v>3614.2</v>
      </c>
      <c r="H88" s="7">
        <v>2578.46</v>
      </c>
    </row>
    <row r="89" spans="1:8" x14ac:dyDescent="0.3">
      <c r="A89" s="12" t="s">
        <v>7</v>
      </c>
      <c r="B89" s="1"/>
      <c r="C89" s="6">
        <v>1752.23</v>
      </c>
      <c r="D89" s="6">
        <v>1627.48</v>
      </c>
      <c r="E89" s="6">
        <v>1448.81</v>
      </c>
      <c r="F89" s="6">
        <v>1285.22</v>
      </c>
      <c r="G89" s="6">
        <v>1314.75</v>
      </c>
      <c r="H89" s="7">
        <v>1047</v>
      </c>
    </row>
    <row r="90" spans="1:8" x14ac:dyDescent="0.3">
      <c r="A90" s="12"/>
      <c r="B90" s="1"/>
      <c r="C90" s="6"/>
      <c r="D90" s="6"/>
      <c r="E90" s="6"/>
      <c r="F90" s="6"/>
      <c r="G90" s="6"/>
      <c r="H90" s="7"/>
    </row>
    <row r="91" spans="1:8" x14ac:dyDescent="0.3">
      <c r="A91" s="4" t="s">
        <v>93</v>
      </c>
      <c r="B91" s="1"/>
      <c r="C91" s="8"/>
      <c r="D91" s="8"/>
      <c r="E91" s="8"/>
      <c r="F91" s="8"/>
      <c r="G91" s="8"/>
      <c r="H91" s="8"/>
    </row>
    <row r="92" spans="1:8" x14ac:dyDescent="0.3">
      <c r="A92" s="12" t="s">
        <v>94</v>
      </c>
      <c r="B92" s="11" t="s">
        <v>95</v>
      </c>
      <c r="C92" s="8">
        <f>C85-C88</f>
        <v>295.41999999999962</v>
      </c>
      <c r="D92" s="8">
        <f t="shared" ref="D92:G92" si="33">D85-D88</f>
        <v>764.25</v>
      </c>
      <c r="E92" s="8">
        <f t="shared" si="33"/>
        <v>611.82999999999993</v>
      </c>
      <c r="F92" s="8">
        <f t="shared" si="33"/>
        <v>-185.30999999999949</v>
      </c>
      <c r="G92" s="8">
        <f t="shared" si="33"/>
        <v>805.48000000000047</v>
      </c>
      <c r="H92" s="8">
        <f>H85-H88</f>
        <v>1096.5099999999998</v>
      </c>
    </row>
    <row r="93" spans="1:8" x14ac:dyDescent="0.3">
      <c r="A93" s="12" t="s">
        <v>96</v>
      </c>
      <c r="B93" s="11" t="s">
        <v>103</v>
      </c>
      <c r="C93" s="8">
        <f>(C86+D86)/2</f>
        <v>1208.865</v>
      </c>
      <c r="D93" s="8">
        <f>(D86+E86)/2</f>
        <v>1187.24</v>
      </c>
      <c r="E93" s="8">
        <f>(E86+F86)/2</f>
        <v>1280.375</v>
      </c>
      <c r="F93" s="8">
        <f>(F86+G86)/2</f>
        <v>1229.49</v>
      </c>
      <c r="G93" s="8">
        <f>(G86+H86)/2</f>
        <v>916.22500000000002</v>
      </c>
      <c r="H93" s="8"/>
    </row>
    <row r="94" spans="1:8" x14ac:dyDescent="0.3">
      <c r="A94" s="12" t="s">
        <v>97</v>
      </c>
      <c r="B94" s="11" t="s">
        <v>104</v>
      </c>
      <c r="C94" s="2">
        <f>(C87+D87)/2</f>
        <v>420.97</v>
      </c>
      <c r="D94" s="2">
        <f t="shared" ref="D94:G94" si="34">(D87+E87)/2</f>
        <v>361.13499999999999</v>
      </c>
      <c r="E94" s="2">
        <f t="shared" si="34"/>
        <v>330.435</v>
      </c>
      <c r="F94" s="2">
        <f t="shared" si="34"/>
        <v>294.60000000000002</v>
      </c>
      <c r="G94" s="2">
        <f t="shared" si="34"/>
        <v>288.815</v>
      </c>
    </row>
    <row r="95" spans="1:8" x14ac:dyDescent="0.3">
      <c r="A95" s="12" t="s">
        <v>98</v>
      </c>
      <c r="B95" s="11" t="s">
        <v>102</v>
      </c>
      <c r="C95" s="8">
        <f>(C89+D89)/2</f>
        <v>1689.855</v>
      </c>
      <c r="D95" s="8">
        <f t="shared" ref="D95:G95" si="35">(D89+E89)/2</f>
        <v>1538.145</v>
      </c>
      <c r="E95" s="8">
        <f t="shared" si="35"/>
        <v>1367.0149999999999</v>
      </c>
      <c r="F95" s="8">
        <f t="shared" si="35"/>
        <v>1299.9850000000001</v>
      </c>
      <c r="G95" s="8">
        <f t="shared" si="35"/>
        <v>1180.875</v>
      </c>
      <c r="H95" s="8"/>
    </row>
    <row r="96" spans="1:8" x14ac:dyDescent="0.3">
      <c r="A96" s="12" t="s">
        <v>105</v>
      </c>
      <c r="B96" s="11" t="s">
        <v>99</v>
      </c>
      <c r="C96" s="8">
        <f>(C93/C84)*365</f>
        <v>41.610113588676022</v>
      </c>
      <c r="D96" s="8">
        <f t="shared" ref="D96:F96" si="36">(D93/D84)*365</f>
        <v>45.653311251650074</v>
      </c>
      <c r="E96" s="8">
        <f t="shared" si="36"/>
        <v>48.725081584352488</v>
      </c>
      <c r="F96" s="8">
        <f t="shared" si="36"/>
        <v>51.226995650833885</v>
      </c>
      <c r="G96" s="8">
        <f>(G93/G84)*365</f>
        <v>43.852313108928549</v>
      </c>
      <c r="H96" s="8"/>
    </row>
    <row r="97" spans="1:8" x14ac:dyDescent="0.3">
      <c r="A97" s="12" t="s">
        <v>106</v>
      </c>
      <c r="B97" s="11" t="s">
        <v>100</v>
      </c>
      <c r="C97" s="8">
        <f>(C94/C83)*365</f>
        <v>8.5636112128239557</v>
      </c>
      <c r="D97" s="8">
        <f>(D94/D83)*365</f>
        <v>7.8604658998274815</v>
      </c>
      <c r="E97" s="8">
        <f>(E94/E83)*365</f>
        <v>7.3990616881025488</v>
      </c>
      <c r="F97" s="8">
        <f>(F94/F83)*365</f>
        <v>7.606608820154694</v>
      </c>
      <c r="G97" s="8">
        <f>(G94/G83)*365</f>
        <v>8.0249963078956217</v>
      </c>
      <c r="H97" s="8"/>
    </row>
    <row r="98" spans="1:8" x14ac:dyDescent="0.3">
      <c r="A98" s="12" t="s">
        <v>107</v>
      </c>
      <c r="B98" s="11" t="s">
        <v>101</v>
      </c>
      <c r="C98" s="8">
        <f>(C95/C84)*365</f>
        <v>58.166179431443638</v>
      </c>
      <c r="D98" s="8">
        <f>(D95/D84)*365</f>
        <v>59.146771027904471</v>
      </c>
      <c r="E98" s="8">
        <f t="shared" ref="E98:G98" si="37">(E95/E84)*365</f>
        <v>52.022194593016579</v>
      </c>
      <c r="F98" s="8">
        <f t="shared" si="37"/>
        <v>54.164186728765003</v>
      </c>
      <c r="G98" s="8">
        <f t="shared" si="37"/>
        <v>56.518977590118148</v>
      </c>
      <c r="H98" s="8"/>
    </row>
    <row r="99" spans="1:8" x14ac:dyDescent="0.3">
      <c r="A99" s="12" t="s">
        <v>109</v>
      </c>
      <c r="B99" s="11" t="s">
        <v>108</v>
      </c>
      <c r="C99" s="8">
        <f>C96+C97-C98</f>
        <v>-7.9924546299436585</v>
      </c>
      <c r="D99" s="8">
        <f t="shared" ref="D99" si="38">D96+D97-D98</f>
        <v>-5.6329938764269158</v>
      </c>
      <c r="E99" s="8">
        <f t="shared" ref="E99" si="39">E96+E97-E98</f>
        <v>4.1019486794384576</v>
      </c>
      <c r="F99" s="8">
        <f t="shared" ref="F99" si="40">F96+F97-F98</f>
        <v>4.6694177422235725</v>
      </c>
      <c r="G99" s="8">
        <f t="shared" ref="G99" si="41">G96+G97-G98</f>
        <v>-4.6416681732939793</v>
      </c>
      <c r="H99" s="8"/>
    </row>
    <row r="100" spans="1:8" x14ac:dyDescent="0.3">
      <c r="A100" s="12"/>
      <c r="B100" s="1"/>
      <c r="C100" s="6"/>
      <c r="D100" s="6"/>
      <c r="E100" s="6"/>
      <c r="F100" s="6"/>
      <c r="G100" s="6"/>
      <c r="H100" s="7"/>
    </row>
    <row r="101" spans="1:8" x14ac:dyDescent="0.3">
      <c r="A101" s="26" t="s">
        <v>80</v>
      </c>
      <c r="B101" s="26"/>
      <c r="C101" s="26"/>
      <c r="D101" s="26"/>
      <c r="E101" s="26"/>
      <c r="F101" s="26"/>
      <c r="G101" s="26"/>
      <c r="H101" s="26"/>
    </row>
    <row r="102" spans="1:8" x14ac:dyDescent="0.3">
      <c r="A102" s="11" t="s">
        <v>10</v>
      </c>
      <c r="B102" s="1"/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12</v>
      </c>
    </row>
    <row r="103" spans="1:8" x14ac:dyDescent="0.3">
      <c r="A103" s="12" t="s">
        <v>8</v>
      </c>
      <c r="B103" s="3"/>
      <c r="C103" s="8">
        <v>5611.01</v>
      </c>
      <c r="D103" s="8">
        <v>4419.58</v>
      </c>
      <c r="E103" s="8">
        <v>3562.49</v>
      </c>
      <c r="F103" s="8">
        <v>2687.57</v>
      </c>
      <c r="G103" s="8">
        <v>2525.34</v>
      </c>
      <c r="H103" s="8">
        <v>2876.58</v>
      </c>
    </row>
    <row r="104" spans="1:8" x14ac:dyDescent="0.3">
      <c r="A104" s="12" t="s">
        <v>11</v>
      </c>
      <c r="B104" s="3"/>
      <c r="C104" s="8">
        <v>3252.71</v>
      </c>
      <c r="D104" s="8">
        <v>2444.9900000000002</v>
      </c>
      <c r="E104" s="8">
        <v>1781.49</v>
      </c>
      <c r="F104" s="8">
        <v>1225.77</v>
      </c>
      <c r="G104" s="8">
        <v>1223.1500000000001</v>
      </c>
      <c r="H104" s="9">
        <f>705.6+571-15</f>
        <v>1261.5999999999999</v>
      </c>
    </row>
    <row r="105" spans="1:8" x14ac:dyDescent="0.3">
      <c r="A105" s="13" t="s">
        <v>28</v>
      </c>
      <c r="B105" s="3"/>
      <c r="C105" s="8">
        <v>3002.07</v>
      </c>
      <c r="D105" s="8">
        <v>2011.61</v>
      </c>
      <c r="E105" s="8">
        <v>1419.43</v>
      </c>
      <c r="F105" s="8">
        <v>1648.61</v>
      </c>
      <c r="G105" s="8">
        <v>1523.76</v>
      </c>
      <c r="H105" s="9">
        <v>1056.74</v>
      </c>
    </row>
    <row r="106" spans="1:8" x14ac:dyDescent="0.3">
      <c r="A106" s="12" t="s">
        <v>5</v>
      </c>
      <c r="B106" s="1"/>
      <c r="C106" s="8">
        <v>1997.08</v>
      </c>
      <c r="D106" s="8">
        <v>1441.59</v>
      </c>
      <c r="E106" s="8">
        <v>928.15</v>
      </c>
      <c r="F106" s="8">
        <v>828.71</v>
      </c>
      <c r="G106" s="8">
        <v>743.11</v>
      </c>
      <c r="H106" s="8">
        <v>687</v>
      </c>
    </row>
    <row r="107" spans="1:8" x14ac:dyDescent="0.3">
      <c r="A107" s="12" t="s">
        <v>6</v>
      </c>
      <c r="B107" s="1"/>
      <c r="C107" s="8">
        <v>516.35</v>
      </c>
      <c r="D107" s="8">
        <v>172.87</v>
      </c>
      <c r="E107" s="8">
        <v>149.52000000000001</v>
      </c>
      <c r="F107" s="8">
        <v>154.63999999999999</v>
      </c>
      <c r="G107" s="8">
        <v>122.99</v>
      </c>
      <c r="H107" s="8">
        <v>69</v>
      </c>
    </row>
    <row r="108" spans="1:8" x14ac:dyDescent="0.3">
      <c r="A108" s="13" t="s">
        <v>29</v>
      </c>
      <c r="B108" s="2"/>
      <c r="C108" s="9">
        <v>1431.54</v>
      </c>
      <c r="D108" s="9">
        <v>1213.94</v>
      </c>
      <c r="E108" s="9">
        <v>1039.78</v>
      </c>
      <c r="F108" s="9">
        <v>822.29</v>
      </c>
      <c r="G108" s="9">
        <v>790.64</v>
      </c>
      <c r="H108" s="9">
        <v>738.57</v>
      </c>
    </row>
    <row r="109" spans="1:8" x14ac:dyDescent="0.3">
      <c r="A109" s="12" t="s">
        <v>7</v>
      </c>
      <c r="B109" s="1"/>
      <c r="C109" s="8">
        <v>499.62</v>
      </c>
      <c r="D109" s="8">
        <v>466.77</v>
      </c>
      <c r="E109" s="8">
        <v>365.49</v>
      </c>
      <c r="F109" s="8">
        <v>252.87</v>
      </c>
      <c r="G109" s="8">
        <v>233.19</v>
      </c>
      <c r="H109" s="8">
        <v>254.02</v>
      </c>
    </row>
    <row r="110" spans="1:8" x14ac:dyDescent="0.3">
      <c r="A110" s="12"/>
      <c r="B110" s="1"/>
      <c r="C110" s="8"/>
      <c r="D110" s="8"/>
      <c r="E110" s="8"/>
      <c r="F110" s="8"/>
      <c r="G110" s="8"/>
      <c r="H110" s="8"/>
    </row>
    <row r="111" spans="1:8" x14ac:dyDescent="0.3">
      <c r="A111" s="4" t="s">
        <v>93</v>
      </c>
      <c r="B111" s="1"/>
      <c r="C111" s="8"/>
      <c r="D111" s="8"/>
      <c r="E111" s="8"/>
      <c r="F111" s="8"/>
      <c r="G111" s="8"/>
      <c r="H111" s="8"/>
    </row>
    <row r="112" spans="1:8" x14ac:dyDescent="0.3">
      <c r="A112" s="12" t="s">
        <v>94</v>
      </c>
      <c r="B112" s="11" t="s">
        <v>95</v>
      </c>
      <c r="C112" s="8">
        <f>C105-C108</f>
        <v>1570.5300000000002</v>
      </c>
      <c r="D112" s="8">
        <f t="shared" ref="D112:G112" si="42">D105-D108</f>
        <v>797.66999999999985</v>
      </c>
      <c r="E112" s="8">
        <f t="shared" si="42"/>
        <v>379.65000000000009</v>
      </c>
      <c r="F112" s="8">
        <f t="shared" si="42"/>
        <v>826.31999999999994</v>
      </c>
      <c r="G112" s="8">
        <f t="shared" si="42"/>
        <v>733.12</v>
      </c>
      <c r="H112" s="8">
        <f>H105-H108</f>
        <v>318.16999999999996</v>
      </c>
    </row>
    <row r="113" spans="1:8" x14ac:dyDescent="0.3">
      <c r="A113" s="12" t="s">
        <v>96</v>
      </c>
      <c r="B113" s="11" t="s">
        <v>103</v>
      </c>
      <c r="C113" s="8">
        <f>(C106+D106)/2</f>
        <v>1719.335</v>
      </c>
      <c r="D113" s="8">
        <f>(D106+E106)/2</f>
        <v>1184.8699999999999</v>
      </c>
      <c r="E113" s="8">
        <f>(E106+F106)/2</f>
        <v>878.43000000000006</v>
      </c>
      <c r="F113" s="8">
        <f>(F106+G106)/2</f>
        <v>785.91000000000008</v>
      </c>
      <c r="G113" s="8">
        <f>(G106+H106)/2</f>
        <v>715.05500000000006</v>
      </c>
      <c r="H113" s="8"/>
    </row>
    <row r="114" spans="1:8" x14ac:dyDescent="0.3">
      <c r="A114" s="12" t="s">
        <v>97</v>
      </c>
      <c r="B114" s="11" t="s">
        <v>104</v>
      </c>
      <c r="C114" s="2">
        <f>(C107+D107)/2</f>
        <v>344.61</v>
      </c>
      <c r="D114" s="2">
        <f t="shared" ref="D114:G114" si="43">(D107+E107)/2</f>
        <v>161.19499999999999</v>
      </c>
      <c r="E114" s="2">
        <f t="shared" si="43"/>
        <v>152.07999999999998</v>
      </c>
      <c r="F114" s="2">
        <f t="shared" si="43"/>
        <v>138.815</v>
      </c>
      <c r="G114" s="2">
        <f t="shared" si="43"/>
        <v>95.995000000000005</v>
      </c>
    </row>
    <row r="115" spans="1:8" x14ac:dyDescent="0.3">
      <c r="A115" s="12" t="s">
        <v>98</v>
      </c>
      <c r="B115" s="11" t="s">
        <v>102</v>
      </c>
      <c r="C115" s="8">
        <f>(C109+D109)/2</f>
        <v>483.19499999999999</v>
      </c>
      <c r="D115" s="8">
        <f t="shared" ref="D115:G115" si="44">(D109+E109)/2</f>
        <v>416.13</v>
      </c>
      <c r="E115" s="8">
        <f t="shared" si="44"/>
        <v>309.18</v>
      </c>
      <c r="F115" s="8">
        <f t="shared" si="44"/>
        <v>243.03</v>
      </c>
      <c r="G115" s="8">
        <f t="shared" si="44"/>
        <v>243.60500000000002</v>
      </c>
      <c r="H115" s="8"/>
    </row>
    <row r="116" spans="1:8" x14ac:dyDescent="0.3">
      <c r="A116" s="12" t="s">
        <v>105</v>
      </c>
      <c r="B116" s="11" t="s">
        <v>99</v>
      </c>
      <c r="C116" s="8">
        <f>(C113/C104)*365</f>
        <v>192.93366915587313</v>
      </c>
      <c r="D116" s="8">
        <f t="shared" ref="D116:F116" si="45">(D113/D104)*365</f>
        <v>176.88315698632712</v>
      </c>
      <c r="E116" s="8">
        <f t="shared" si="45"/>
        <v>179.97684522506444</v>
      </c>
      <c r="F116" s="8">
        <f t="shared" si="45"/>
        <v>234.02200249639003</v>
      </c>
      <c r="G116" s="8">
        <f>(G113/G104)*365</f>
        <v>213.3794505988636</v>
      </c>
      <c r="H116" s="8"/>
    </row>
    <row r="117" spans="1:8" x14ac:dyDescent="0.3">
      <c r="A117" s="12" t="s">
        <v>106</v>
      </c>
      <c r="B117" s="11" t="s">
        <v>100</v>
      </c>
      <c r="C117" s="8">
        <f>(C114/C103)*365</f>
        <v>22.417113852942695</v>
      </c>
      <c r="D117" s="8">
        <f>(D114/D103)*365</f>
        <v>13.312616809742103</v>
      </c>
      <c r="E117" s="8">
        <f>(E114/E103)*365</f>
        <v>15.581573562311753</v>
      </c>
      <c r="F117" s="8">
        <f>(F114/F103)*365</f>
        <v>18.852522911031155</v>
      </c>
      <c r="G117" s="8">
        <f>(G114/G103)*365</f>
        <v>13.874636682585315</v>
      </c>
      <c r="H117" s="8"/>
    </row>
    <row r="118" spans="1:8" x14ac:dyDescent="0.3">
      <c r="A118" s="12" t="s">
        <v>107</v>
      </c>
      <c r="B118" s="11" t="s">
        <v>101</v>
      </c>
      <c r="C118" s="8">
        <f>(C115/C104)*365</f>
        <v>54.221303159519294</v>
      </c>
      <c r="D118" s="8">
        <f>(D115/D104)*365</f>
        <v>62.121910519061423</v>
      </c>
      <c r="E118" s="8">
        <f t="shared" ref="E118:G118" si="46">(E115/E104)*365</f>
        <v>63.346243874509547</v>
      </c>
      <c r="F118" s="8">
        <f t="shared" si="46"/>
        <v>72.367532245037808</v>
      </c>
      <c r="G118" s="8">
        <f t="shared" si="46"/>
        <v>72.694129910477045</v>
      </c>
      <c r="H118" s="8"/>
    </row>
    <row r="119" spans="1:8" x14ac:dyDescent="0.3">
      <c r="A119" s="12" t="s">
        <v>109</v>
      </c>
      <c r="B119" s="11" t="s">
        <v>108</v>
      </c>
      <c r="C119" s="8">
        <f>C116+C117-C118</f>
        <v>161.12947984929653</v>
      </c>
      <c r="D119" s="8">
        <f t="shared" ref="D119" si="47">D116+D117-D118</f>
        <v>128.0738632770078</v>
      </c>
      <c r="E119" s="8">
        <f t="shared" ref="E119" si="48">E116+E117-E118</f>
        <v>132.21217491286663</v>
      </c>
      <c r="F119" s="8">
        <f t="shared" ref="F119" si="49">F116+F117-F118</f>
        <v>180.50699316238337</v>
      </c>
      <c r="G119" s="8">
        <f t="shared" ref="G119" si="50">G116+G117-G118</f>
        <v>154.55995737097186</v>
      </c>
      <c r="H119" s="8"/>
    </row>
    <row r="120" spans="1:8" x14ac:dyDescent="0.3">
      <c r="A120" s="12"/>
      <c r="B120" s="1"/>
      <c r="C120" s="8"/>
      <c r="D120" s="8"/>
      <c r="E120" s="8"/>
      <c r="F120" s="8"/>
      <c r="G120" s="8"/>
      <c r="H120" s="8"/>
    </row>
    <row r="121" spans="1:8" x14ac:dyDescent="0.3">
      <c r="A121" s="26" t="s">
        <v>27</v>
      </c>
      <c r="B121" s="26"/>
      <c r="C121" s="26"/>
      <c r="D121" s="26"/>
      <c r="E121" s="26"/>
      <c r="F121" s="26"/>
      <c r="G121" s="26"/>
      <c r="H121" s="26"/>
    </row>
    <row r="122" spans="1:8" x14ac:dyDescent="0.3">
      <c r="A122" s="11" t="s">
        <v>10</v>
      </c>
      <c r="B122" s="1"/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12</v>
      </c>
    </row>
    <row r="123" spans="1:8" x14ac:dyDescent="0.3">
      <c r="A123" s="12" t="s">
        <v>8</v>
      </c>
      <c r="B123" s="3"/>
      <c r="C123" s="5">
        <v>5572.85</v>
      </c>
      <c r="D123" s="5">
        <v>5364.54</v>
      </c>
      <c r="E123" s="5">
        <v>5339.41</v>
      </c>
      <c r="F123" s="5">
        <v>4196.0200000000004</v>
      </c>
      <c r="G123" s="5">
        <v>3981.89</v>
      </c>
      <c r="H123" s="5">
        <v>4484.51</v>
      </c>
    </row>
    <row r="124" spans="1:8" x14ac:dyDescent="0.3">
      <c r="A124" s="12" t="s">
        <v>11</v>
      </c>
      <c r="B124" s="3"/>
      <c r="C124" s="6">
        <v>4214.41</v>
      </c>
      <c r="D124" s="6">
        <v>3999.9199999999992</v>
      </c>
      <c r="E124" s="6">
        <v>3784.9000000000005</v>
      </c>
      <c r="F124" s="6">
        <v>3061.7700000000004</v>
      </c>
      <c r="G124" s="6">
        <v>2758.96</v>
      </c>
      <c r="H124" s="6">
        <f>3035+12+173</f>
        <v>3220</v>
      </c>
    </row>
    <row r="125" spans="1:8" x14ac:dyDescent="0.3">
      <c r="A125" s="12" t="s">
        <v>28</v>
      </c>
      <c r="B125" s="4"/>
      <c r="C125" s="6">
        <v>5239.1099999999997</v>
      </c>
      <c r="D125" s="6">
        <v>4961.47</v>
      </c>
      <c r="E125" s="6">
        <v>4631.0600000000004</v>
      </c>
      <c r="F125" s="6">
        <v>3594.73</v>
      </c>
      <c r="G125" s="6">
        <v>3405.57</v>
      </c>
      <c r="H125" s="6">
        <v>3172.16</v>
      </c>
    </row>
    <row r="126" spans="1:8" x14ac:dyDescent="0.3">
      <c r="A126" s="12" t="s">
        <v>5</v>
      </c>
      <c r="B126" s="1"/>
      <c r="C126" s="6">
        <v>3884.85</v>
      </c>
      <c r="D126" s="6">
        <v>4450.71</v>
      </c>
      <c r="E126" s="6">
        <v>4186.2700000000004</v>
      </c>
      <c r="F126" s="6">
        <v>2816.1</v>
      </c>
      <c r="G126" s="6">
        <v>2964.21</v>
      </c>
      <c r="H126" s="6">
        <v>2852</v>
      </c>
    </row>
    <row r="127" spans="1:8" x14ac:dyDescent="0.3">
      <c r="A127" s="12" t="s">
        <v>6</v>
      </c>
      <c r="B127" s="1"/>
      <c r="C127" s="6">
        <v>467.77</v>
      </c>
      <c r="D127" s="6">
        <v>303.08</v>
      </c>
      <c r="E127" s="6">
        <v>285.06</v>
      </c>
      <c r="F127" s="6">
        <v>289.33999999999997</v>
      </c>
      <c r="G127" s="6">
        <v>201.29</v>
      </c>
      <c r="H127" s="6">
        <v>230</v>
      </c>
    </row>
    <row r="128" spans="1:8" x14ac:dyDescent="0.3">
      <c r="A128" s="12" t="s">
        <v>29</v>
      </c>
      <c r="B128" s="4"/>
      <c r="C128" s="10">
        <v>836.65</v>
      </c>
      <c r="D128" s="10">
        <v>919.48</v>
      </c>
      <c r="E128" s="10">
        <v>729.46</v>
      </c>
      <c r="F128" s="10">
        <v>487</v>
      </c>
      <c r="G128" s="10">
        <v>728.4</v>
      </c>
      <c r="H128" s="3">
        <v>1052</v>
      </c>
    </row>
    <row r="129" spans="1:8" x14ac:dyDescent="0.3">
      <c r="A129" s="12" t="s">
        <v>7</v>
      </c>
      <c r="B129" s="1"/>
      <c r="C129" s="6">
        <v>151.36000000000001</v>
      </c>
      <c r="D129" s="6">
        <v>110.31</v>
      </c>
      <c r="E129" s="6">
        <v>119.73</v>
      </c>
      <c r="F129" s="6">
        <v>180.57</v>
      </c>
      <c r="G129" s="6">
        <v>219.06</v>
      </c>
      <c r="H129" s="6">
        <v>383.56</v>
      </c>
    </row>
    <row r="130" spans="1:8" x14ac:dyDescent="0.3">
      <c r="A130" s="12"/>
      <c r="B130" s="1"/>
      <c r="C130" s="6"/>
      <c r="D130" s="6"/>
      <c r="E130" s="6"/>
      <c r="F130" s="6"/>
      <c r="G130" s="6"/>
      <c r="H130" s="6"/>
    </row>
    <row r="131" spans="1:8" x14ac:dyDescent="0.3">
      <c r="A131" s="4" t="s">
        <v>93</v>
      </c>
      <c r="B131" s="1"/>
      <c r="C131" s="8"/>
      <c r="D131" s="8"/>
      <c r="E131" s="8"/>
      <c r="F131" s="8"/>
      <c r="G131" s="8"/>
      <c r="H131" s="8"/>
    </row>
    <row r="132" spans="1:8" x14ac:dyDescent="0.3">
      <c r="A132" s="12" t="s">
        <v>94</v>
      </c>
      <c r="B132" s="11" t="s">
        <v>95</v>
      </c>
      <c r="C132" s="8">
        <f>C125-C128</f>
        <v>4402.46</v>
      </c>
      <c r="D132" s="8">
        <f t="shared" ref="D132:G132" si="51">D125-D128</f>
        <v>4041.9900000000002</v>
      </c>
      <c r="E132" s="8">
        <f t="shared" si="51"/>
        <v>3901.6000000000004</v>
      </c>
      <c r="F132" s="8">
        <f t="shared" si="51"/>
        <v>3107.73</v>
      </c>
      <c r="G132" s="8">
        <f t="shared" si="51"/>
        <v>2677.17</v>
      </c>
      <c r="H132" s="8">
        <f>H125-H128</f>
        <v>2120.16</v>
      </c>
    </row>
    <row r="133" spans="1:8" x14ac:dyDescent="0.3">
      <c r="A133" s="12" t="s">
        <v>96</v>
      </c>
      <c r="B133" s="11" t="s">
        <v>103</v>
      </c>
      <c r="C133" s="8">
        <f>(C126+D126)/2</f>
        <v>4167.78</v>
      </c>
      <c r="D133" s="8">
        <f>(D126+E126)/2</f>
        <v>4318.49</v>
      </c>
      <c r="E133" s="8">
        <f>(E126+F126)/2</f>
        <v>3501.1850000000004</v>
      </c>
      <c r="F133" s="8">
        <f>(F126+G126)/2</f>
        <v>2890.1549999999997</v>
      </c>
      <c r="G133" s="8">
        <f>(G126+H126)/2</f>
        <v>2908.105</v>
      </c>
      <c r="H133" s="8"/>
    </row>
    <row r="134" spans="1:8" x14ac:dyDescent="0.3">
      <c r="A134" s="12" t="s">
        <v>97</v>
      </c>
      <c r="B134" s="11" t="s">
        <v>104</v>
      </c>
      <c r="C134" s="2">
        <f>(C127+D127)/2</f>
        <v>385.42499999999995</v>
      </c>
      <c r="D134" s="2">
        <f t="shared" ref="D134:G134" si="52">(D127+E127)/2</f>
        <v>294.07</v>
      </c>
      <c r="E134" s="2">
        <f t="shared" si="52"/>
        <v>287.2</v>
      </c>
      <c r="F134" s="2">
        <f t="shared" si="52"/>
        <v>245.315</v>
      </c>
      <c r="G134" s="2">
        <f t="shared" si="52"/>
        <v>215.64499999999998</v>
      </c>
    </row>
    <row r="135" spans="1:8" x14ac:dyDescent="0.3">
      <c r="A135" s="12" t="s">
        <v>98</v>
      </c>
      <c r="B135" s="11" t="s">
        <v>102</v>
      </c>
      <c r="C135" s="8">
        <f>(C129+D129)/2</f>
        <v>130.83500000000001</v>
      </c>
      <c r="D135" s="8">
        <f t="shared" ref="D135:G135" si="53">(D129+E129)/2</f>
        <v>115.02000000000001</v>
      </c>
      <c r="E135" s="8">
        <f t="shared" si="53"/>
        <v>150.15</v>
      </c>
      <c r="F135" s="8">
        <f t="shared" si="53"/>
        <v>199.815</v>
      </c>
      <c r="G135" s="8">
        <f t="shared" si="53"/>
        <v>301.31</v>
      </c>
      <c r="H135" s="8"/>
    </row>
    <row r="136" spans="1:8" x14ac:dyDescent="0.3">
      <c r="A136" s="12" t="s">
        <v>105</v>
      </c>
      <c r="B136" s="11" t="s">
        <v>99</v>
      </c>
      <c r="C136" s="8">
        <f>(C133/C124)*365</f>
        <v>360.96148689852197</v>
      </c>
      <c r="D136" s="8">
        <f t="shared" ref="D136:F136" si="54">(D133/D124)*365</f>
        <v>394.07009390187812</v>
      </c>
      <c r="E136" s="8">
        <f t="shared" si="54"/>
        <v>337.63970646516418</v>
      </c>
      <c r="F136" s="8">
        <f t="shared" si="54"/>
        <v>344.54141721945138</v>
      </c>
      <c r="G136" s="8">
        <f>(G133/G124)*365</f>
        <v>384.7313208600342</v>
      </c>
      <c r="H136" s="8"/>
    </row>
    <row r="137" spans="1:8" x14ac:dyDescent="0.3">
      <c r="A137" s="12" t="s">
        <v>106</v>
      </c>
      <c r="B137" s="11" t="s">
        <v>100</v>
      </c>
      <c r="C137" s="8">
        <f>(C134/C123)*365</f>
        <v>25.243838430964402</v>
      </c>
      <c r="D137" s="8">
        <f>(D134/D123)*365</f>
        <v>20.008341814955241</v>
      </c>
      <c r="E137" s="8">
        <f>(E134/E123)*365</f>
        <v>19.632880786453931</v>
      </c>
      <c r="F137" s="8">
        <f>(F134/F123)*365</f>
        <v>21.339263158898191</v>
      </c>
      <c r="G137" s="8">
        <f>(G134/G123)*365</f>
        <v>19.76710180341496</v>
      </c>
      <c r="H137" s="8"/>
    </row>
    <row r="138" spans="1:8" x14ac:dyDescent="0.3">
      <c r="A138" s="12" t="s">
        <v>107</v>
      </c>
      <c r="B138" s="11" t="s">
        <v>101</v>
      </c>
      <c r="C138" s="8">
        <f>(C135/C124)*365</f>
        <v>11.331307347884994</v>
      </c>
      <c r="D138" s="8">
        <f>(D135/D124)*365</f>
        <v>10.495784915698318</v>
      </c>
      <c r="E138" s="8">
        <f t="shared" ref="E138:G138" si="55">(E135/E124)*365</f>
        <v>14.479840946920657</v>
      </c>
      <c r="F138" s="8">
        <f t="shared" si="55"/>
        <v>23.820363711186662</v>
      </c>
      <c r="G138" s="8">
        <f t="shared" si="55"/>
        <v>39.862176327311744</v>
      </c>
      <c r="H138" s="8"/>
    </row>
    <row r="139" spans="1:8" x14ac:dyDescent="0.3">
      <c r="A139" s="12" t="s">
        <v>109</v>
      </c>
      <c r="B139" s="11" t="s">
        <v>108</v>
      </c>
      <c r="C139" s="8">
        <f>C136+C137-C138</f>
        <v>374.87401798160136</v>
      </c>
      <c r="D139" s="8">
        <f t="shared" ref="D139" si="56">D136+D137-D138</f>
        <v>403.58265080113506</v>
      </c>
      <c r="E139" s="8">
        <f t="shared" ref="E139" si="57">E136+E137-E138</f>
        <v>342.79274630469746</v>
      </c>
      <c r="F139" s="8">
        <f t="shared" ref="F139" si="58">F136+F137-F138</f>
        <v>342.06031666716291</v>
      </c>
      <c r="G139" s="8">
        <f t="shared" ref="G139" si="59">G136+G137-G138</f>
        <v>364.63624633613745</v>
      </c>
      <c r="H139" s="8"/>
    </row>
    <row r="140" spans="1:8" x14ac:dyDescent="0.3">
      <c r="A140" s="12"/>
      <c r="B140" s="1"/>
      <c r="C140" s="6"/>
      <c r="D140" s="6"/>
      <c r="E140" s="6"/>
      <c r="F140" s="6"/>
      <c r="G140" s="6"/>
      <c r="H140" s="6"/>
    </row>
    <row r="141" spans="1:8" x14ac:dyDescent="0.3">
      <c r="A141" s="26" t="s">
        <v>26</v>
      </c>
      <c r="B141" s="26"/>
      <c r="C141" s="26"/>
      <c r="D141" s="26"/>
      <c r="E141" s="26"/>
      <c r="F141" s="26"/>
      <c r="G141" s="26"/>
      <c r="H141" s="26"/>
    </row>
    <row r="142" spans="1:8" x14ac:dyDescent="0.3">
      <c r="A142" s="11" t="s">
        <v>10</v>
      </c>
      <c r="B142" s="1"/>
      <c r="C142" s="1" t="s">
        <v>0</v>
      </c>
      <c r="D142" s="1" t="s">
        <v>1</v>
      </c>
      <c r="E142" s="1" t="s">
        <v>2</v>
      </c>
      <c r="F142" s="1" t="s">
        <v>3</v>
      </c>
      <c r="G142" s="1" t="s">
        <v>4</v>
      </c>
      <c r="H142" s="1" t="s">
        <v>12</v>
      </c>
    </row>
    <row r="143" spans="1:8" x14ac:dyDescent="0.3">
      <c r="A143" s="12" t="s">
        <v>8</v>
      </c>
      <c r="B143" s="3"/>
      <c r="C143" s="6">
        <v>5574.76</v>
      </c>
      <c r="D143" s="6">
        <v>6104.32</v>
      </c>
      <c r="E143" s="6">
        <v>6338.03</v>
      </c>
      <c r="F143" s="6">
        <v>5575.65</v>
      </c>
      <c r="G143" s="6">
        <v>6665.97</v>
      </c>
      <c r="H143" s="7">
        <v>6669.34</v>
      </c>
    </row>
    <row r="144" spans="1:8" x14ac:dyDescent="0.3">
      <c r="A144" s="12" t="s">
        <v>11</v>
      </c>
      <c r="B144" s="3"/>
      <c r="C144" s="7">
        <v>4387.57</v>
      </c>
      <c r="D144" s="7">
        <v>4861.8599999999997</v>
      </c>
      <c r="E144" s="7">
        <v>5179.0099999999993</v>
      </c>
      <c r="F144" s="7">
        <v>4400.26</v>
      </c>
      <c r="G144" s="7">
        <v>5490.63</v>
      </c>
      <c r="H144" s="7">
        <f>5363.34+60.17</f>
        <v>5423.51</v>
      </c>
    </row>
    <row r="145" spans="1:8" x14ac:dyDescent="0.3">
      <c r="A145" s="12" t="s">
        <v>28</v>
      </c>
      <c r="B145" s="3"/>
      <c r="C145" s="7">
        <v>3545.26</v>
      </c>
      <c r="D145" s="7">
        <v>3621.05</v>
      </c>
      <c r="E145" s="7">
        <v>3482.46</v>
      </c>
      <c r="F145" s="7">
        <v>6084.52</v>
      </c>
      <c r="G145" s="7">
        <v>5793.08</v>
      </c>
      <c r="H145" s="7">
        <v>5937.37</v>
      </c>
    </row>
    <row r="146" spans="1:8" x14ac:dyDescent="0.3">
      <c r="A146" s="12" t="s">
        <v>5</v>
      </c>
      <c r="B146" s="1"/>
      <c r="C146" s="6">
        <v>2679.59</v>
      </c>
      <c r="D146" s="6">
        <v>2720.54</v>
      </c>
      <c r="E146" s="6">
        <v>2612.7199999999998</v>
      </c>
      <c r="F146" s="6">
        <v>2745.56</v>
      </c>
      <c r="G146" s="6">
        <v>2541.34</v>
      </c>
      <c r="H146" s="7">
        <v>2711.39</v>
      </c>
    </row>
    <row r="147" spans="1:8" x14ac:dyDescent="0.3">
      <c r="A147" s="12" t="s">
        <v>6</v>
      </c>
      <c r="B147" s="1"/>
      <c r="C147" s="6">
        <v>107.53</v>
      </c>
      <c r="D147" s="6">
        <v>155.91</v>
      </c>
      <c r="E147" s="6">
        <v>140.85</v>
      </c>
      <c r="F147" s="6">
        <v>214.3</v>
      </c>
      <c r="G147" s="6">
        <v>213.14</v>
      </c>
      <c r="H147" s="6">
        <v>168.96</v>
      </c>
    </row>
    <row r="148" spans="1:8" x14ac:dyDescent="0.3">
      <c r="A148" s="12" t="s">
        <v>29</v>
      </c>
      <c r="B148" s="3"/>
      <c r="C148" s="7">
        <v>6188.44</v>
      </c>
      <c r="D148" s="7">
        <v>6460.12</v>
      </c>
      <c r="E148" s="7">
        <v>6229.9</v>
      </c>
      <c r="F148" s="7">
        <v>5927.2</v>
      </c>
      <c r="G148" s="7">
        <v>5253.02</v>
      </c>
      <c r="H148" s="7">
        <v>4996.88</v>
      </c>
    </row>
    <row r="149" spans="1:8" x14ac:dyDescent="0.3">
      <c r="A149" s="12" t="s">
        <v>7</v>
      </c>
      <c r="B149" s="1"/>
      <c r="C149" s="6">
        <v>3545.2</v>
      </c>
      <c r="D149" s="6">
        <v>3629.61</v>
      </c>
      <c r="E149" s="6">
        <v>4556.3</v>
      </c>
      <c r="F149" s="6">
        <v>4094.73</v>
      </c>
      <c r="G149" s="6">
        <v>4461.72</v>
      </c>
      <c r="H149" s="7">
        <v>4444.46</v>
      </c>
    </row>
    <row r="150" spans="1:8" x14ac:dyDescent="0.3">
      <c r="A150" s="12"/>
      <c r="B150" s="1"/>
      <c r="C150" s="6"/>
      <c r="D150" s="6"/>
      <c r="E150" s="6"/>
      <c r="F150" s="6"/>
      <c r="G150" s="6"/>
      <c r="H150" s="7"/>
    </row>
    <row r="151" spans="1:8" x14ac:dyDescent="0.3">
      <c r="A151" s="4" t="s">
        <v>93</v>
      </c>
      <c r="B151" s="1"/>
      <c r="C151" s="8"/>
      <c r="D151" s="8"/>
      <c r="E151" s="8"/>
      <c r="F151" s="8"/>
      <c r="G151" s="8"/>
      <c r="H151" s="8"/>
    </row>
    <row r="152" spans="1:8" x14ac:dyDescent="0.3">
      <c r="A152" s="12" t="s">
        <v>94</v>
      </c>
      <c r="B152" s="11" t="s">
        <v>95</v>
      </c>
      <c r="C152" s="8">
        <f>C145-C148</f>
        <v>-2643.1799999999994</v>
      </c>
      <c r="D152" s="8">
        <f t="shared" ref="D152:G152" si="60">D145-D148</f>
        <v>-2839.0699999999997</v>
      </c>
      <c r="E152" s="8">
        <f t="shared" si="60"/>
        <v>-2747.4399999999996</v>
      </c>
      <c r="F152" s="8">
        <f t="shared" si="60"/>
        <v>157.32000000000062</v>
      </c>
      <c r="G152" s="8">
        <f t="shared" si="60"/>
        <v>540.05999999999949</v>
      </c>
      <c r="H152" s="8">
        <f>H145-H148</f>
        <v>940.48999999999978</v>
      </c>
    </row>
    <row r="153" spans="1:8" x14ac:dyDescent="0.3">
      <c r="A153" s="12" t="s">
        <v>96</v>
      </c>
      <c r="B153" s="11" t="s">
        <v>103</v>
      </c>
      <c r="C153" s="8">
        <f>(C146+D146)/2</f>
        <v>2700.0650000000001</v>
      </c>
      <c r="D153" s="8">
        <f>(D146+E146)/2</f>
        <v>2666.63</v>
      </c>
      <c r="E153" s="8">
        <f>(E146+F146)/2</f>
        <v>2679.14</v>
      </c>
      <c r="F153" s="8">
        <f>(F146+G146)/2</f>
        <v>2643.45</v>
      </c>
      <c r="G153" s="8">
        <f>(G146+H146)/2</f>
        <v>2626.3649999999998</v>
      </c>
      <c r="H153" s="8"/>
    </row>
    <row r="154" spans="1:8" x14ac:dyDescent="0.3">
      <c r="A154" s="12" t="s">
        <v>97</v>
      </c>
      <c r="B154" s="11" t="s">
        <v>104</v>
      </c>
      <c r="C154" s="2">
        <f>(C147+D147)/2</f>
        <v>131.72</v>
      </c>
      <c r="D154" s="2">
        <f t="shared" ref="D154:G154" si="61">(D147+E147)/2</f>
        <v>148.38</v>
      </c>
      <c r="E154" s="2">
        <f t="shared" si="61"/>
        <v>177.57499999999999</v>
      </c>
      <c r="F154" s="2">
        <f t="shared" si="61"/>
        <v>213.72</v>
      </c>
      <c r="G154" s="2">
        <f t="shared" si="61"/>
        <v>191.05</v>
      </c>
    </row>
    <row r="155" spans="1:8" x14ac:dyDescent="0.3">
      <c r="A155" s="12" t="s">
        <v>98</v>
      </c>
      <c r="B155" s="11" t="s">
        <v>102</v>
      </c>
      <c r="C155" s="8">
        <f>(C149+D149)/2</f>
        <v>3587.4049999999997</v>
      </c>
      <c r="D155" s="8">
        <f t="shared" ref="D155:G155" si="62">(D149+E149)/2</f>
        <v>4092.9549999999999</v>
      </c>
      <c r="E155" s="8">
        <f t="shared" si="62"/>
        <v>4325.5150000000003</v>
      </c>
      <c r="F155" s="8">
        <f t="shared" si="62"/>
        <v>4278.2250000000004</v>
      </c>
      <c r="G155" s="8">
        <f t="shared" si="62"/>
        <v>4453.09</v>
      </c>
      <c r="H155" s="8"/>
    </row>
    <row r="156" spans="1:8" x14ac:dyDescent="0.3">
      <c r="A156" s="12" t="s">
        <v>105</v>
      </c>
      <c r="B156" s="11" t="s">
        <v>99</v>
      </c>
      <c r="C156" s="8">
        <f>(C153/C144)*365</f>
        <v>224.61720838641892</v>
      </c>
      <c r="D156" s="8">
        <f t="shared" ref="D156:F156" si="63">(D153/D144)*365</f>
        <v>200.19497681957114</v>
      </c>
      <c r="E156" s="8">
        <f t="shared" si="63"/>
        <v>188.81718706857103</v>
      </c>
      <c r="F156" s="8">
        <f t="shared" si="63"/>
        <v>219.27323612695611</v>
      </c>
      <c r="G156" s="8">
        <f>(G153/G144)*365</f>
        <v>174.5925740761989</v>
      </c>
      <c r="H156" s="8"/>
    </row>
    <row r="157" spans="1:8" x14ac:dyDescent="0.3">
      <c r="A157" s="12" t="s">
        <v>106</v>
      </c>
      <c r="B157" s="11" t="s">
        <v>100</v>
      </c>
      <c r="C157" s="8">
        <f>(C154/C143)*365</f>
        <v>8.6241918934626778</v>
      </c>
      <c r="D157" s="8">
        <f>(D154/D143)*365</f>
        <v>8.8721921524428602</v>
      </c>
      <c r="E157" s="8">
        <f>(E154/E143)*365</f>
        <v>10.22634399016729</v>
      </c>
      <c r="F157" s="8">
        <f>(F154/F143)*365</f>
        <v>13.990799279007829</v>
      </c>
      <c r="G157" s="8">
        <f>(G154/G143)*365</f>
        <v>10.461080682931367</v>
      </c>
      <c r="H157" s="8"/>
    </row>
    <row r="158" spans="1:8" x14ac:dyDescent="0.3">
      <c r="A158" s="12" t="s">
        <v>107</v>
      </c>
      <c r="B158" s="11" t="s">
        <v>101</v>
      </c>
      <c r="C158" s="8">
        <f>(C155/C144)*365</f>
        <v>298.43462896318459</v>
      </c>
      <c r="D158" s="8">
        <f>(D155/D144)*365</f>
        <v>307.2751117884925</v>
      </c>
      <c r="E158" s="8">
        <f t="shared" ref="E158:G158" si="64">(E155/E144)*365</f>
        <v>304.84841214826781</v>
      </c>
      <c r="F158" s="8">
        <f t="shared" si="64"/>
        <v>354.87724020853312</v>
      </c>
      <c r="G158" s="8">
        <f t="shared" si="64"/>
        <v>296.02756878536707</v>
      </c>
      <c r="H158" s="8"/>
    </row>
    <row r="159" spans="1:8" x14ac:dyDescent="0.3">
      <c r="A159" s="12" t="s">
        <v>109</v>
      </c>
      <c r="B159" s="11" t="s">
        <v>108</v>
      </c>
      <c r="C159" s="8">
        <f>C156+C157-C158</f>
        <v>-65.193228683303005</v>
      </c>
      <c r="D159" s="8">
        <f t="shared" ref="D159" si="65">D156+D157-D158</f>
        <v>-98.207942816478493</v>
      </c>
      <c r="E159" s="8">
        <f t="shared" ref="E159" si="66">E156+E157-E158</f>
        <v>-105.80488108952949</v>
      </c>
      <c r="F159" s="8">
        <f t="shared" ref="F159" si="67">F156+F157-F158</f>
        <v>-121.61320480256919</v>
      </c>
      <c r="G159" s="8">
        <f t="shared" ref="G159" si="68">G156+G157-G158</f>
        <v>-110.9739140262368</v>
      </c>
      <c r="H159" s="8"/>
    </row>
    <row r="160" spans="1:8" x14ac:dyDescent="0.3">
      <c r="A160" s="12"/>
      <c r="B160" s="1"/>
      <c r="C160" s="6"/>
      <c r="D160" s="6"/>
      <c r="E160" s="6"/>
      <c r="F160" s="6"/>
      <c r="G160" s="6"/>
      <c r="H160" s="7"/>
    </row>
    <row r="161" spans="1:8" x14ac:dyDescent="0.3">
      <c r="A161" s="26" t="s">
        <v>25</v>
      </c>
      <c r="B161" s="26"/>
      <c r="C161" s="26"/>
      <c r="D161" s="26"/>
      <c r="E161" s="26"/>
      <c r="F161" s="26"/>
      <c r="G161" s="26"/>
      <c r="H161" s="26"/>
    </row>
    <row r="162" spans="1:8" x14ac:dyDescent="0.3">
      <c r="A162" s="11" t="s">
        <v>10</v>
      </c>
      <c r="B162" s="1"/>
      <c r="C162" s="1" t="s">
        <v>0</v>
      </c>
      <c r="D162" s="1" t="s">
        <v>1</v>
      </c>
      <c r="E162" s="1" t="s">
        <v>2</v>
      </c>
      <c r="F162" s="1" t="s">
        <v>3</v>
      </c>
      <c r="G162" s="1"/>
      <c r="H162" s="1"/>
    </row>
    <row r="163" spans="1:8" x14ac:dyDescent="0.3">
      <c r="A163" s="12" t="s">
        <v>8</v>
      </c>
      <c r="B163" s="3"/>
      <c r="C163" s="6">
        <v>4951.05</v>
      </c>
      <c r="D163" s="6">
        <v>3556.32</v>
      </c>
      <c r="E163" s="6">
        <v>2997.72</v>
      </c>
      <c r="F163" s="6">
        <v>2084.0100000000002</v>
      </c>
      <c r="G163" s="6"/>
      <c r="H163" s="6"/>
    </row>
    <row r="164" spans="1:8" x14ac:dyDescent="0.3">
      <c r="A164" s="12" t="s">
        <v>11</v>
      </c>
      <c r="B164" s="3"/>
      <c r="C164" s="6">
        <v>1538.8100000000002</v>
      </c>
      <c r="D164" s="6">
        <v>1056.57</v>
      </c>
      <c r="E164" s="6">
        <v>898.63</v>
      </c>
      <c r="F164" s="6">
        <v>599.83999999999992</v>
      </c>
      <c r="G164" s="6"/>
      <c r="H164" s="6"/>
    </row>
    <row r="165" spans="1:8" x14ac:dyDescent="0.3">
      <c r="A165" s="12" t="s">
        <v>28</v>
      </c>
      <c r="B165" s="3"/>
      <c r="C165" s="6">
        <v>473.76</v>
      </c>
      <c r="D165" s="6">
        <v>486.12</v>
      </c>
      <c r="E165" s="6">
        <v>309.87</v>
      </c>
      <c r="F165" s="6">
        <v>336.13</v>
      </c>
      <c r="G165" s="6"/>
      <c r="H165" s="6"/>
    </row>
    <row r="166" spans="1:8" x14ac:dyDescent="0.3">
      <c r="A166" s="12" t="s">
        <v>5</v>
      </c>
      <c r="B166" s="1"/>
      <c r="C166" s="6">
        <v>148.22999999999999</v>
      </c>
      <c r="D166" s="6">
        <v>131.04</v>
      </c>
      <c r="E166" s="6">
        <v>129.05000000000001</v>
      </c>
      <c r="F166" s="6">
        <v>85.49</v>
      </c>
      <c r="G166" s="6"/>
      <c r="H166" s="6"/>
    </row>
    <row r="167" spans="1:8" x14ac:dyDescent="0.3">
      <c r="A167" s="12" t="s">
        <v>6</v>
      </c>
      <c r="B167" s="1"/>
      <c r="C167" s="6">
        <v>41.31</v>
      </c>
      <c r="D167" s="6">
        <v>52.69</v>
      </c>
      <c r="E167" s="6">
        <v>28.91</v>
      </c>
      <c r="F167" s="6">
        <v>21.05</v>
      </c>
      <c r="G167" s="6"/>
      <c r="H167" s="6"/>
    </row>
    <row r="168" spans="1:8" x14ac:dyDescent="0.3">
      <c r="A168" s="12" t="s">
        <v>29</v>
      </c>
      <c r="B168" s="3"/>
      <c r="C168" s="6">
        <v>1112.8599999999999</v>
      </c>
      <c r="D168" s="6">
        <v>911.3</v>
      </c>
      <c r="E168" s="6">
        <v>535.49</v>
      </c>
      <c r="F168" s="6">
        <v>420.2</v>
      </c>
      <c r="G168" s="6"/>
      <c r="H168" s="6"/>
    </row>
    <row r="169" spans="1:8" x14ac:dyDescent="0.3">
      <c r="A169" s="12" t="s">
        <v>7</v>
      </c>
      <c r="B169" s="1"/>
      <c r="C169" s="6">
        <v>441.14</v>
      </c>
      <c r="D169" s="6">
        <v>375.64</v>
      </c>
      <c r="E169" s="6">
        <v>241.9</v>
      </c>
      <c r="F169" s="6">
        <v>196.37</v>
      </c>
      <c r="G169" s="6"/>
      <c r="H169" s="6"/>
    </row>
    <row r="170" spans="1:8" x14ac:dyDescent="0.3">
      <c r="B170" s="2"/>
      <c r="C170" s="2"/>
      <c r="D170" s="2"/>
      <c r="E170" s="2"/>
      <c r="F170" s="2"/>
      <c r="G170" s="2"/>
      <c r="H170" s="2"/>
    </row>
    <row r="171" spans="1:8" x14ac:dyDescent="0.3">
      <c r="A171" s="4" t="s">
        <v>93</v>
      </c>
      <c r="B171" s="1"/>
      <c r="C171" s="8"/>
      <c r="D171" s="8"/>
      <c r="E171" s="8"/>
      <c r="F171" s="8"/>
      <c r="G171" s="8"/>
      <c r="H171" s="8"/>
    </row>
    <row r="172" spans="1:8" x14ac:dyDescent="0.3">
      <c r="A172" s="12" t="s">
        <v>94</v>
      </c>
      <c r="B172" s="11" t="s">
        <v>95</v>
      </c>
      <c r="C172" s="8">
        <f>C165-C168</f>
        <v>-639.09999999999991</v>
      </c>
      <c r="D172" s="8">
        <f t="shared" ref="D172:F172" si="69">D165-D168</f>
        <v>-425.17999999999995</v>
      </c>
      <c r="E172" s="8">
        <f t="shared" si="69"/>
        <v>-225.62</v>
      </c>
      <c r="F172" s="8">
        <f t="shared" si="69"/>
        <v>-84.07</v>
      </c>
      <c r="G172" s="8"/>
      <c r="H172" s="8"/>
    </row>
    <row r="173" spans="1:8" x14ac:dyDescent="0.3">
      <c r="A173" s="12" t="s">
        <v>96</v>
      </c>
      <c r="B173" s="11" t="s">
        <v>103</v>
      </c>
      <c r="C173" s="8">
        <f>(C166+D166)/2</f>
        <v>139.63499999999999</v>
      </c>
      <c r="D173" s="8">
        <f>(D166+E166)/2</f>
        <v>130.04500000000002</v>
      </c>
      <c r="E173" s="8">
        <f>(E166+F166)/2</f>
        <v>107.27000000000001</v>
      </c>
      <c r="F173" s="8">
        <f>(F166+G166)/2</f>
        <v>42.744999999999997</v>
      </c>
      <c r="G173" s="8"/>
      <c r="H173" s="8"/>
    </row>
    <row r="174" spans="1:8" x14ac:dyDescent="0.3">
      <c r="A174" s="12" t="s">
        <v>97</v>
      </c>
      <c r="B174" s="11" t="s">
        <v>104</v>
      </c>
      <c r="C174" s="2">
        <f>(C167+D167)/2</f>
        <v>47</v>
      </c>
      <c r="D174" s="2">
        <f t="shared" ref="D174:F174" si="70">(D167+E167)/2</f>
        <v>40.799999999999997</v>
      </c>
      <c r="E174" s="2">
        <f t="shared" si="70"/>
        <v>24.98</v>
      </c>
      <c r="F174" s="2">
        <f t="shared" si="70"/>
        <v>10.525</v>
      </c>
      <c r="G174" s="2"/>
    </row>
    <row r="175" spans="1:8" x14ac:dyDescent="0.3">
      <c r="A175" s="12" t="s">
        <v>98</v>
      </c>
      <c r="B175" s="11" t="s">
        <v>102</v>
      </c>
      <c r="C175" s="8">
        <f>(C169+D169)/2</f>
        <v>408.39</v>
      </c>
      <c r="D175" s="8">
        <f t="shared" ref="D175:F175" si="71">(D169+E169)/2</f>
        <v>308.77</v>
      </c>
      <c r="E175" s="8">
        <f t="shared" si="71"/>
        <v>219.13499999999999</v>
      </c>
      <c r="F175" s="8">
        <f t="shared" si="71"/>
        <v>98.185000000000002</v>
      </c>
      <c r="G175" s="8"/>
      <c r="H175" s="8"/>
    </row>
    <row r="176" spans="1:8" x14ac:dyDescent="0.3">
      <c r="A176" s="12" t="s">
        <v>105</v>
      </c>
      <c r="B176" s="11" t="s">
        <v>99</v>
      </c>
      <c r="C176" s="8">
        <f>(C173/C164)*365</f>
        <v>33.120901865727404</v>
      </c>
      <c r="D176" s="8">
        <f t="shared" ref="D176:F176" si="72">(D173/D164)*365</f>
        <v>44.925016799644141</v>
      </c>
      <c r="E176" s="8">
        <f t="shared" si="72"/>
        <v>43.570268074735992</v>
      </c>
      <c r="F176" s="8">
        <f t="shared" si="72"/>
        <v>26.010144371832489</v>
      </c>
      <c r="G176" s="8"/>
      <c r="H176" s="8"/>
    </row>
    <row r="177" spans="1:8" x14ac:dyDescent="0.3">
      <c r="A177" s="12" t="s">
        <v>106</v>
      </c>
      <c r="B177" s="11" t="s">
        <v>100</v>
      </c>
      <c r="C177" s="8">
        <f>(C174/C163)*365</f>
        <v>3.464921582290625</v>
      </c>
      <c r="D177" s="8">
        <f>(D174/D163)*365</f>
        <v>4.1874746929410174</v>
      </c>
      <c r="E177" s="8">
        <f>(E174/E163)*365</f>
        <v>3.0415449074630052</v>
      </c>
      <c r="F177" s="8">
        <f>(F174/F163)*365</f>
        <v>1.8433812697635807</v>
      </c>
      <c r="G177" s="8"/>
      <c r="H177" s="8"/>
    </row>
    <row r="178" spans="1:8" x14ac:dyDescent="0.3">
      <c r="A178" s="12" t="s">
        <v>107</v>
      </c>
      <c r="B178" s="11" t="s">
        <v>101</v>
      </c>
      <c r="C178" s="8">
        <f>(C175/C164)*365</f>
        <v>96.868586765097689</v>
      </c>
      <c r="D178" s="8">
        <f>(D175/D164)*365</f>
        <v>106.66690328137274</v>
      </c>
      <c r="E178" s="8">
        <f t="shared" ref="E178:F178" si="73">(E175/E164)*365</f>
        <v>89.006904955320877</v>
      </c>
      <c r="F178" s="8">
        <f t="shared" si="73"/>
        <v>59.74514037076554</v>
      </c>
      <c r="G178" s="8"/>
      <c r="H178" s="8"/>
    </row>
    <row r="179" spans="1:8" x14ac:dyDescent="0.3">
      <c r="A179" s="12" t="s">
        <v>109</v>
      </c>
      <c r="B179" s="11" t="s">
        <v>108</v>
      </c>
      <c r="C179" s="8">
        <f>C176+C177-C178</f>
        <v>-60.282763317079656</v>
      </c>
      <c r="D179" s="8">
        <f t="shared" ref="D179" si="74">D176+D177-D178</f>
        <v>-57.554411788787583</v>
      </c>
      <c r="E179" s="8">
        <f t="shared" ref="E179" si="75">E176+E177-E178</f>
        <v>-42.395091973121879</v>
      </c>
      <c r="F179" s="8">
        <f t="shared" ref="F179" si="76">F176+F177-F178</f>
        <v>-31.891614729169472</v>
      </c>
      <c r="G179" s="8"/>
      <c r="H179" s="8"/>
    </row>
    <row r="180" spans="1:8" x14ac:dyDescent="0.3">
      <c r="B180" s="2"/>
      <c r="C180" s="2"/>
      <c r="D180" s="2"/>
      <c r="E180" s="2"/>
      <c r="F180" s="2"/>
      <c r="G180" s="2"/>
      <c r="H180" s="2"/>
    </row>
    <row r="181" spans="1:8" x14ac:dyDescent="0.3">
      <c r="A181" s="26" t="s">
        <v>22</v>
      </c>
      <c r="B181" s="26"/>
      <c r="C181" s="26"/>
      <c r="D181" s="26"/>
      <c r="E181" s="26"/>
      <c r="F181" s="26"/>
      <c r="G181" s="26"/>
      <c r="H181" s="26"/>
    </row>
    <row r="182" spans="1:8" x14ac:dyDescent="0.3">
      <c r="A182" s="11" t="s">
        <v>10</v>
      </c>
      <c r="B182" s="1"/>
      <c r="C182" s="1" t="s">
        <v>0</v>
      </c>
      <c r="D182" s="1" t="s">
        <v>1</v>
      </c>
      <c r="E182" s="1" t="s">
        <v>2</v>
      </c>
      <c r="F182" s="1" t="s">
        <v>3</v>
      </c>
      <c r="G182" s="1" t="s">
        <v>4</v>
      </c>
      <c r="H182" s="1" t="s">
        <v>12</v>
      </c>
    </row>
    <row r="183" spans="1:8" x14ac:dyDescent="0.3">
      <c r="A183" s="12" t="s">
        <v>8</v>
      </c>
      <c r="B183" s="3"/>
      <c r="C183" s="6">
        <v>4851.1499999999996</v>
      </c>
      <c r="D183" s="6">
        <v>4118.5200000000004</v>
      </c>
      <c r="E183" s="6">
        <v>3142.82</v>
      </c>
      <c r="F183" s="6">
        <v>2868.01</v>
      </c>
      <c r="G183" s="6">
        <v>2418.14</v>
      </c>
      <c r="H183" s="7">
        <v>2427.04</v>
      </c>
    </row>
    <row r="184" spans="1:8" ht="14.4" customHeight="1" x14ac:dyDescent="0.3">
      <c r="A184" s="12" t="s">
        <v>11</v>
      </c>
      <c r="B184" s="3"/>
      <c r="C184" s="6">
        <v>2773.84</v>
      </c>
      <c r="D184" s="6">
        <v>2366.4900000000002</v>
      </c>
      <c r="E184" s="6">
        <v>1827.9199999999998</v>
      </c>
      <c r="F184" s="6">
        <v>1577.4299999999998</v>
      </c>
      <c r="G184" s="6">
        <v>1202.4199999999998</v>
      </c>
      <c r="H184" s="7">
        <f>1270.91+3.59-18.83</f>
        <v>1255.67</v>
      </c>
    </row>
    <row r="185" spans="1:8" x14ac:dyDescent="0.3">
      <c r="A185" s="12" t="s">
        <v>28</v>
      </c>
      <c r="B185" s="2"/>
      <c r="C185" s="7">
        <v>2524.54</v>
      </c>
      <c r="D185" s="7">
        <v>2079.02</v>
      </c>
      <c r="E185" s="7">
        <v>1880.99</v>
      </c>
      <c r="F185" s="7">
        <v>1611.69</v>
      </c>
      <c r="G185" s="7">
        <v>1624.72</v>
      </c>
      <c r="H185" s="7">
        <v>1422.05</v>
      </c>
    </row>
    <row r="186" spans="1:8" x14ac:dyDescent="0.3">
      <c r="A186" s="12" t="s">
        <v>5</v>
      </c>
      <c r="B186" s="1"/>
      <c r="C186" s="6">
        <v>1076.83</v>
      </c>
      <c r="D186" s="6">
        <v>779.69</v>
      </c>
      <c r="E186" s="6">
        <v>715.42</v>
      </c>
      <c r="F186" s="6">
        <v>536.85</v>
      </c>
      <c r="G186" s="6">
        <v>489.07</v>
      </c>
      <c r="H186" s="6">
        <v>374.18</v>
      </c>
    </row>
    <row r="187" spans="1:8" x14ac:dyDescent="0.3">
      <c r="A187" s="12" t="s">
        <v>6</v>
      </c>
      <c r="B187" s="1"/>
      <c r="C187" s="6">
        <v>1182.18</v>
      </c>
      <c r="D187" s="6">
        <v>978.15</v>
      </c>
      <c r="E187" s="6">
        <v>824.06</v>
      </c>
      <c r="F187" s="6">
        <v>755.76</v>
      </c>
      <c r="G187" s="6">
        <v>697.46</v>
      </c>
      <c r="H187" s="6">
        <v>823.05</v>
      </c>
    </row>
    <row r="188" spans="1:8" x14ac:dyDescent="0.3">
      <c r="A188" s="12" t="s">
        <v>29</v>
      </c>
      <c r="B188" s="2"/>
      <c r="C188" s="7">
        <v>1544.4</v>
      </c>
      <c r="D188" s="7">
        <v>1212.02</v>
      </c>
      <c r="E188" s="7">
        <v>1089.06</v>
      </c>
      <c r="F188" s="7">
        <v>653.76</v>
      </c>
      <c r="G188" s="7">
        <v>819.04</v>
      </c>
      <c r="H188" s="7">
        <v>843.45</v>
      </c>
    </row>
    <row r="189" spans="1:8" x14ac:dyDescent="0.3">
      <c r="A189" s="12" t="s">
        <v>7</v>
      </c>
      <c r="B189" s="1"/>
      <c r="C189" s="6">
        <v>312.52999999999997</v>
      </c>
      <c r="D189" s="6">
        <v>267.05</v>
      </c>
      <c r="E189" s="6">
        <v>274.89</v>
      </c>
      <c r="F189" s="6">
        <v>304.26</v>
      </c>
      <c r="G189" s="6">
        <v>261.91000000000003</v>
      </c>
      <c r="H189" s="7">
        <v>264.24</v>
      </c>
    </row>
    <row r="191" spans="1:8" x14ac:dyDescent="0.3">
      <c r="A191" s="4" t="s">
        <v>93</v>
      </c>
      <c r="B191" s="1"/>
      <c r="C191" s="8"/>
      <c r="D191" s="8"/>
      <c r="E191" s="8"/>
      <c r="F191" s="8"/>
      <c r="G191" s="8"/>
      <c r="H191" s="8"/>
    </row>
    <row r="192" spans="1:8" x14ac:dyDescent="0.3">
      <c r="A192" s="12" t="s">
        <v>94</v>
      </c>
      <c r="B192" s="11" t="s">
        <v>95</v>
      </c>
      <c r="C192" s="8">
        <f>C185-C188</f>
        <v>980.13999999999987</v>
      </c>
      <c r="D192" s="8">
        <f t="shared" ref="D192:G192" si="77">D185-D188</f>
        <v>867</v>
      </c>
      <c r="E192" s="8">
        <f t="shared" si="77"/>
        <v>791.93000000000006</v>
      </c>
      <c r="F192" s="8">
        <f t="shared" si="77"/>
        <v>957.93000000000006</v>
      </c>
      <c r="G192" s="8">
        <f t="shared" si="77"/>
        <v>805.68000000000006</v>
      </c>
      <c r="H192" s="8">
        <f>H185-H188</f>
        <v>578.59999999999991</v>
      </c>
    </row>
    <row r="193" spans="1:8" x14ac:dyDescent="0.3">
      <c r="A193" s="12" t="s">
        <v>96</v>
      </c>
      <c r="B193" s="11" t="s">
        <v>103</v>
      </c>
      <c r="C193" s="8">
        <f>(C186+D186)/2</f>
        <v>928.26</v>
      </c>
      <c r="D193" s="8">
        <f>(D186+E186)/2</f>
        <v>747.55500000000006</v>
      </c>
      <c r="E193" s="8">
        <f>(E186+F186)/2</f>
        <v>626.13499999999999</v>
      </c>
      <c r="F193" s="8">
        <f>(F186+G186)/2</f>
        <v>512.96</v>
      </c>
      <c r="G193" s="8">
        <f>(G186+H186)/2</f>
        <v>431.625</v>
      </c>
      <c r="H193" s="8"/>
    </row>
    <row r="194" spans="1:8" x14ac:dyDescent="0.3">
      <c r="A194" s="12" t="s">
        <v>97</v>
      </c>
      <c r="B194" s="11" t="s">
        <v>104</v>
      </c>
      <c r="C194" s="2">
        <f>(C187+D187)/2</f>
        <v>1080.165</v>
      </c>
      <c r="D194" s="2">
        <f t="shared" ref="D194:G194" si="78">(D187+E187)/2</f>
        <v>901.10500000000002</v>
      </c>
      <c r="E194" s="2">
        <f t="shared" si="78"/>
        <v>789.91</v>
      </c>
      <c r="F194" s="2">
        <f t="shared" si="78"/>
        <v>726.61</v>
      </c>
      <c r="G194" s="2">
        <f t="shared" si="78"/>
        <v>760.255</v>
      </c>
    </row>
    <row r="195" spans="1:8" x14ac:dyDescent="0.3">
      <c r="A195" s="12" t="s">
        <v>98</v>
      </c>
      <c r="B195" s="11" t="s">
        <v>102</v>
      </c>
      <c r="C195" s="8">
        <f>(C189+D189)/2</f>
        <v>289.78999999999996</v>
      </c>
      <c r="D195" s="8">
        <f t="shared" ref="D195:G195" si="79">(D189+E189)/2</f>
        <v>270.97000000000003</v>
      </c>
      <c r="E195" s="8">
        <f t="shared" si="79"/>
        <v>289.57499999999999</v>
      </c>
      <c r="F195" s="8">
        <f t="shared" si="79"/>
        <v>283.08500000000004</v>
      </c>
      <c r="G195" s="8">
        <f t="shared" si="79"/>
        <v>263.07500000000005</v>
      </c>
      <c r="H195" s="8"/>
    </row>
    <row r="196" spans="1:8" x14ac:dyDescent="0.3">
      <c r="A196" s="12" t="s">
        <v>105</v>
      </c>
      <c r="B196" s="11" t="s">
        <v>99</v>
      </c>
      <c r="C196" s="8">
        <f>(C193/C184)*365</f>
        <v>122.14651890520001</v>
      </c>
      <c r="D196" s="8">
        <f t="shared" ref="D196:F196" si="80">(D193/D184)*365</f>
        <v>115.30054004031285</v>
      </c>
      <c r="E196" s="8">
        <f t="shared" si="80"/>
        <v>125.0269568690096</v>
      </c>
      <c r="F196" s="8">
        <f t="shared" si="80"/>
        <v>118.69331761155806</v>
      </c>
      <c r="G196" s="8">
        <f>(G193/G184)*365</f>
        <v>131.02171038405882</v>
      </c>
      <c r="H196" s="8"/>
    </row>
    <row r="197" spans="1:8" x14ac:dyDescent="0.3">
      <c r="A197" s="12" t="s">
        <v>106</v>
      </c>
      <c r="B197" s="11" t="s">
        <v>100</v>
      </c>
      <c r="C197" s="8">
        <f>(C194/C183)*365</f>
        <v>81.271497479978976</v>
      </c>
      <c r="D197" s="8">
        <f>(D194/D183)*365</f>
        <v>79.85959155230519</v>
      </c>
      <c r="E197" s="8">
        <f>(E194/E183)*365</f>
        <v>91.738359180608484</v>
      </c>
      <c r="F197" s="8">
        <f>(F194/F183)*365</f>
        <v>92.472707556807677</v>
      </c>
      <c r="G197" s="8">
        <f>(G194/G183)*365</f>
        <v>114.7547598567494</v>
      </c>
      <c r="H197" s="8"/>
    </row>
    <row r="198" spans="1:8" x14ac:dyDescent="0.3">
      <c r="A198" s="12" t="s">
        <v>107</v>
      </c>
      <c r="B198" s="11" t="s">
        <v>101</v>
      </c>
      <c r="C198" s="8">
        <f>(C195/C184)*365</f>
        <v>38.132462578951916</v>
      </c>
      <c r="D198" s="8">
        <f>(D195/D184)*365</f>
        <v>41.793563463188093</v>
      </c>
      <c r="E198" s="8">
        <f t="shared" ref="E198:G198" si="81">(E195/E184)*365</f>
        <v>57.822484025559106</v>
      </c>
      <c r="F198" s="8">
        <f t="shared" si="81"/>
        <v>65.502763989527281</v>
      </c>
      <c r="G198" s="8">
        <f t="shared" si="81"/>
        <v>79.857599673990805</v>
      </c>
      <c r="H198" s="8"/>
    </row>
    <row r="199" spans="1:8" x14ac:dyDescent="0.3">
      <c r="A199" s="12" t="s">
        <v>109</v>
      </c>
      <c r="B199" s="11" t="s">
        <v>108</v>
      </c>
      <c r="C199" s="8">
        <f>C196+C197-C198</f>
        <v>165.28555380622709</v>
      </c>
      <c r="D199" s="8">
        <f t="shared" ref="D199" si="82">D196+D197-D198</f>
        <v>153.36656812942994</v>
      </c>
      <c r="E199" s="8">
        <f t="shared" ref="E199" si="83">E196+E197-E198</f>
        <v>158.94283202405899</v>
      </c>
      <c r="F199" s="8">
        <f t="shared" ref="F199" si="84">F196+F197-F198</f>
        <v>145.66326117883847</v>
      </c>
      <c r="G199" s="8">
        <f t="shared" ref="G199" si="85">G196+G197-G198</f>
        <v>165.91887056681742</v>
      </c>
      <c r="H199" s="8"/>
    </row>
    <row r="202" spans="1:8" x14ac:dyDescent="0.3">
      <c r="A202" s="11" t="s">
        <v>119</v>
      </c>
      <c r="C202" s="1" t="s">
        <v>0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12</v>
      </c>
    </row>
    <row r="203" spans="1:8" x14ac:dyDescent="0.3">
      <c r="A203" s="14" t="s">
        <v>117</v>
      </c>
      <c r="C203" s="24">
        <f>AVERAGE(C12, C32, C52, C72, C92, C112, C132, C152, C172, C192)</f>
        <v>4191.0339999999987</v>
      </c>
      <c r="D203" s="24">
        <f>AVERAGE(D12, D32, D52, D72, D92, D112, D132, D152, D172, D192)</f>
        <v>4190.799</v>
      </c>
      <c r="E203" s="24">
        <f t="shared" ref="E203:H203" si="86">AVERAGE(E12, E32, E52, E72, E92, E112, E132, E152, E172, E192)</f>
        <v>3349.8979999999997</v>
      </c>
      <c r="F203" s="24">
        <f t="shared" si="86"/>
        <v>3093.634</v>
      </c>
      <c r="G203" s="24">
        <f t="shared" si="86"/>
        <v>3626.5777777777776</v>
      </c>
      <c r="H203" s="24">
        <f t="shared" si="86"/>
        <v>4340.1677777777768</v>
      </c>
    </row>
    <row r="204" spans="1:8" x14ac:dyDescent="0.3">
      <c r="A204" s="14" t="s">
        <v>118</v>
      </c>
      <c r="C204" s="24">
        <f>AVERAGE(C19, C39, C59, C79, C99, C119, C139, C159, C179, C199)</f>
        <v>71.469085101188881</v>
      </c>
      <c r="D204" s="24">
        <f t="shared" ref="D204:G204" si="87">AVERAGE(D19, D39, D59, D79, D99, D119, D139, D159, D179, D199)</f>
        <v>64.868808836160113</v>
      </c>
      <c r="E204" s="24">
        <f t="shared" si="87"/>
        <v>60.684044721690796</v>
      </c>
      <c r="F204" s="24">
        <f t="shared" si="87"/>
        <v>62.081887109676359</v>
      </c>
      <c r="G204" s="24">
        <f t="shared" si="87"/>
        <v>74.422335824887938</v>
      </c>
      <c r="H204" s="24"/>
    </row>
    <row r="205" spans="1:8" x14ac:dyDescent="0.3">
      <c r="A205" s="11" t="s">
        <v>115</v>
      </c>
    </row>
    <row r="206" spans="1:8" x14ac:dyDescent="0.3">
      <c r="A206" s="14" t="s">
        <v>111</v>
      </c>
      <c r="C206" s="24">
        <f>AVERAGE(C12,C32, C52, C72, C92 )</f>
        <v>7647.8979999999983</v>
      </c>
      <c r="D206" s="24">
        <f t="shared" ref="D206:G206" si="88">AVERAGE(D12,D32, D52, D72, D92 )</f>
        <v>7893.116</v>
      </c>
      <c r="E206" s="24">
        <f t="shared" si="88"/>
        <v>6279.7719999999999</v>
      </c>
      <c r="F206" s="24">
        <f t="shared" si="88"/>
        <v>5194.2219999999998</v>
      </c>
      <c r="G206" s="24">
        <f t="shared" si="88"/>
        <v>5576.634</v>
      </c>
    </row>
    <row r="207" spans="1:8" x14ac:dyDescent="0.3">
      <c r="A207" s="14" t="s">
        <v>113</v>
      </c>
      <c r="C207" s="24">
        <f>AVERAGE(C19, C39, C59, C79, C99)</f>
        <v>27.775558275029312</v>
      </c>
      <c r="D207" s="24">
        <f t="shared" ref="D207:G207" si="89">AVERAGE(D19, D39, D59, D79, D99)</f>
        <v>23.885472151858881</v>
      </c>
      <c r="E207" s="24">
        <f t="shared" si="89"/>
        <v>24.218533407587245</v>
      </c>
      <c r="F207" s="24">
        <f t="shared" si="89"/>
        <v>21.218623924023497</v>
      </c>
      <c r="G207" s="24">
        <f t="shared" si="89"/>
        <v>19.131972435260305</v>
      </c>
    </row>
    <row r="208" spans="1:8" x14ac:dyDescent="0.3">
      <c r="A208" s="11" t="s">
        <v>116</v>
      </c>
    </row>
    <row r="209" spans="1:7" x14ac:dyDescent="0.3">
      <c r="A209" s="14" t="s">
        <v>112</v>
      </c>
      <c r="C209" s="24">
        <f>AVERAGE(C112, C132,C152,C172,C192)</f>
        <v>734.17000000000007</v>
      </c>
      <c r="D209" s="24">
        <f t="shared" ref="D209:F209" si="90">AVERAGE(D112, D132,D152,D172,D192)</f>
        <v>488.48200000000008</v>
      </c>
      <c r="E209" s="24">
        <f t="shared" si="90"/>
        <v>420.02400000000017</v>
      </c>
      <c r="F209" s="24">
        <f t="shared" si="90"/>
        <v>993.04600000000005</v>
      </c>
      <c r="G209" s="24">
        <f>AVERAGE(G112, G132,G152,G172,G192)</f>
        <v>1189.0074999999999</v>
      </c>
    </row>
    <row r="210" spans="1:7" x14ac:dyDescent="0.3">
      <c r="A210" s="14" t="s">
        <v>114</v>
      </c>
      <c r="C210" s="24">
        <f>AVERAGE(C119, C139, C159, C179, C199)</f>
        <v>115.16261192734846</v>
      </c>
      <c r="D210" s="24">
        <f t="shared" ref="D210:E210" si="91">AVERAGE(D119, D139, D159, D179, D199)</f>
        <v>105.85214552046133</v>
      </c>
      <c r="E210" s="24">
        <f t="shared" si="91"/>
        <v>97.149556035794348</v>
      </c>
      <c r="F210" s="24">
        <f>AVERAGE(F119, F139, F159, F179, F199)</f>
        <v>102.94515029532923</v>
      </c>
      <c r="G210" s="24">
        <f>AVERAGE(G119, G139, G159, G179, G199)</f>
        <v>143.5352900619225</v>
      </c>
    </row>
  </sheetData>
  <mergeCells count="10">
    <mergeCell ref="A21:H21"/>
    <mergeCell ref="A1:H1"/>
    <mergeCell ref="A41:H41"/>
    <mergeCell ref="A61:H61"/>
    <mergeCell ref="A81:H81"/>
    <mergeCell ref="A101:H101"/>
    <mergeCell ref="A121:H121"/>
    <mergeCell ref="A141:H141"/>
    <mergeCell ref="A161:H161"/>
    <mergeCell ref="A181:H181"/>
  </mergeCells>
  <pageMargins left="0.7" right="0.7" top="0.75" bottom="0.75" header="0.3" footer="0.3"/>
  <pageSetup scale="62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E8E8-A4B5-4850-B5B5-423AA183C77D}">
  <dimension ref="A1:H210"/>
  <sheetViews>
    <sheetView view="pageBreakPreview" topLeftCell="A192" zoomScale="102" zoomScaleNormal="100" workbookViewId="0">
      <selection activeCell="C205" sqref="C205"/>
    </sheetView>
  </sheetViews>
  <sheetFormatPr defaultRowHeight="14.4" x14ac:dyDescent="0.3"/>
  <cols>
    <col min="1" max="1" width="43.33203125" customWidth="1"/>
    <col min="2" max="2" width="43" bestFit="1" customWidth="1"/>
    <col min="3" max="7" width="9" bestFit="1" customWidth="1"/>
    <col min="8" max="8" width="12.88671875" customWidth="1"/>
  </cols>
  <sheetData>
    <row r="1" spans="1:8" x14ac:dyDescent="0.3">
      <c r="A1" s="26" t="s">
        <v>31</v>
      </c>
      <c r="B1" s="26"/>
      <c r="C1" s="26"/>
      <c r="D1" s="26"/>
      <c r="E1" s="26"/>
      <c r="F1" s="26"/>
      <c r="G1" s="26"/>
      <c r="H1" s="26"/>
    </row>
    <row r="2" spans="1:8" x14ac:dyDescent="0.3">
      <c r="A2" s="11" t="s">
        <v>10</v>
      </c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12</v>
      </c>
    </row>
    <row r="3" spans="1:8" x14ac:dyDescent="0.3">
      <c r="A3" s="12" t="s">
        <v>8</v>
      </c>
      <c r="B3" s="3"/>
      <c r="C3" s="8">
        <v>439695</v>
      </c>
      <c r="D3" s="8">
        <v>437927.77</v>
      </c>
      <c r="E3" s="8">
        <v>345966.96</v>
      </c>
      <c r="F3" s="8">
        <v>278453.62</v>
      </c>
      <c r="G3" s="8">
        <v>249794.75</v>
      </c>
      <c r="H3" s="8">
        <v>261067.97</v>
      </c>
    </row>
    <row r="4" spans="1:8" x14ac:dyDescent="0.3">
      <c r="A4" s="12" t="s">
        <v>11</v>
      </c>
      <c r="B4" s="3"/>
      <c r="C4" s="8">
        <v>282418</v>
      </c>
      <c r="D4" s="8">
        <v>283762.31999999995</v>
      </c>
      <c r="E4" s="8">
        <v>237145.35</v>
      </c>
      <c r="F4" s="8">
        <v>190109.77</v>
      </c>
      <c r="G4" s="8">
        <v>163518.15</v>
      </c>
      <c r="H4" s="9">
        <f>152671+12228+4188+2232</f>
        <v>171319</v>
      </c>
    </row>
    <row r="5" spans="1:8" x14ac:dyDescent="0.3">
      <c r="A5" s="13" t="s">
        <v>28</v>
      </c>
      <c r="B5" s="3"/>
      <c r="C5" s="8">
        <v>160325</v>
      </c>
      <c r="D5" s="8">
        <v>168392.15</v>
      </c>
      <c r="E5" s="8">
        <v>151528.47</v>
      </c>
      <c r="F5" s="8">
        <v>146977.54</v>
      </c>
      <c r="G5" s="8">
        <v>146887.64000000001</v>
      </c>
      <c r="H5" s="9">
        <v>119587.25</v>
      </c>
    </row>
    <row r="6" spans="1:8" x14ac:dyDescent="0.3">
      <c r="A6" s="12" t="s">
        <v>5</v>
      </c>
      <c r="B6" s="1"/>
      <c r="C6" s="8">
        <v>47269</v>
      </c>
      <c r="D6" s="8">
        <v>47788.29</v>
      </c>
      <c r="E6" s="8">
        <v>40755.39</v>
      </c>
      <c r="F6" s="8">
        <v>35240.339999999997</v>
      </c>
      <c r="G6" s="8">
        <v>36088.589999999997</v>
      </c>
      <c r="H6" s="8">
        <v>37456.879999999997</v>
      </c>
    </row>
    <row r="7" spans="1:8" x14ac:dyDescent="0.3">
      <c r="A7" s="12" t="s">
        <v>6</v>
      </c>
      <c r="B7" s="1"/>
      <c r="C7" s="8">
        <v>13248</v>
      </c>
      <c r="D7" s="8">
        <v>16951.810000000001</v>
      </c>
      <c r="E7" s="8">
        <v>15737.97</v>
      </c>
      <c r="F7" s="8">
        <v>12442.12</v>
      </c>
      <c r="G7" s="8">
        <v>12679.08</v>
      </c>
      <c r="H7" s="8">
        <v>11172.69</v>
      </c>
    </row>
    <row r="8" spans="1:8" x14ac:dyDescent="0.3">
      <c r="A8" s="13" t="s">
        <v>29</v>
      </c>
      <c r="B8" s="2"/>
      <c r="C8" s="9">
        <v>166684</v>
      </c>
      <c r="D8" s="9">
        <v>173617</v>
      </c>
      <c r="E8" s="9">
        <v>155027.32999999999</v>
      </c>
      <c r="F8" s="9">
        <v>150682.81</v>
      </c>
      <c r="G8" s="9">
        <v>157749.18</v>
      </c>
      <c r="H8" s="9">
        <v>140454.04999999999</v>
      </c>
    </row>
    <row r="9" spans="1:8" x14ac:dyDescent="0.3">
      <c r="A9" s="12" t="s">
        <v>7</v>
      </c>
      <c r="B9" s="1"/>
      <c r="C9" s="8">
        <v>97368</v>
      </c>
      <c r="D9" s="8">
        <v>88042.95</v>
      </c>
      <c r="E9" s="8">
        <v>72055.77</v>
      </c>
      <c r="F9" s="8">
        <v>59970.38</v>
      </c>
      <c r="G9" s="8">
        <v>68179.8</v>
      </c>
      <c r="H9" s="8">
        <v>63626.879999999997</v>
      </c>
    </row>
    <row r="10" spans="1:8" x14ac:dyDescent="0.3">
      <c r="A10" s="12"/>
      <c r="B10" s="1"/>
      <c r="C10" s="8"/>
      <c r="D10" s="8"/>
      <c r="E10" s="8"/>
      <c r="F10" s="8"/>
      <c r="G10" s="8"/>
      <c r="H10" s="8"/>
    </row>
    <row r="11" spans="1:8" x14ac:dyDescent="0.3">
      <c r="A11" s="4" t="s">
        <v>93</v>
      </c>
      <c r="B11" s="1"/>
      <c r="C11" s="8"/>
      <c r="D11" s="8"/>
      <c r="E11" s="8"/>
      <c r="F11" s="8"/>
      <c r="G11" s="8"/>
      <c r="H11" s="8"/>
    </row>
    <row r="12" spans="1:8" x14ac:dyDescent="0.3">
      <c r="A12" s="12" t="s">
        <v>94</v>
      </c>
      <c r="B12" s="11" t="s">
        <v>95</v>
      </c>
      <c r="C12" s="8">
        <f>C5-C8</f>
        <v>-6359</v>
      </c>
      <c r="D12" s="8">
        <f t="shared" ref="D12:G12" si="0">D5-D8</f>
        <v>-5224.8500000000058</v>
      </c>
      <c r="E12" s="8">
        <f t="shared" si="0"/>
        <v>-3498.859999999986</v>
      </c>
      <c r="F12" s="8">
        <f t="shared" si="0"/>
        <v>-3705.2699999999895</v>
      </c>
      <c r="G12" s="8">
        <f t="shared" si="0"/>
        <v>-10861.539999999979</v>
      </c>
      <c r="H12" s="8">
        <f>H5-H8</f>
        <v>-20866.799999999988</v>
      </c>
    </row>
    <row r="13" spans="1:8" x14ac:dyDescent="0.3">
      <c r="A13" s="12" t="s">
        <v>96</v>
      </c>
      <c r="B13" s="11" t="s">
        <v>103</v>
      </c>
      <c r="C13" s="8">
        <f>(C6+D6)/2</f>
        <v>47528.645000000004</v>
      </c>
      <c r="D13" s="8">
        <f>(D6+E6)/2</f>
        <v>44271.839999999997</v>
      </c>
      <c r="E13" s="8">
        <f>(E6+F6)/2</f>
        <v>37997.864999999998</v>
      </c>
      <c r="F13" s="8">
        <f>(F6+G6)/2</f>
        <v>35664.464999999997</v>
      </c>
      <c r="G13" s="8">
        <f>(G6+H6)/2</f>
        <v>36772.735000000001</v>
      </c>
      <c r="H13" s="8"/>
    </row>
    <row r="14" spans="1:8" x14ac:dyDescent="0.3">
      <c r="A14" s="12" t="s">
        <v>97</v>
      </c>
      <c r="B14" s="11" t="s">
        <v>104</v>
      </c>
      <c r="C14" s="2">
        <f>(C7+D7)/2</f>
        <v>15099.905000000001</v>
      </c>
      <c r="D14" s="2">
        <f t="shared" ref="D14:G14" si="1">(D7+E7)/2</f>
        <v>16344.89</v>
      </c>
      <c r="E14" s="2">
        <f t="shared" si="1"/>
        <v>14090.045</v>
      </c>
      <c r="F14" s="2">
        <f t="shared" si="1"/>
        <v>12560.6</v>
      </c>
      <c r="G14" s="2">
        <f t="shared" si="1"/>
        <v>11925.885</v>
      </c>
    </row>
    <row r="15" spans="1:8" x14ac:dyDescent="0.3">
      <c r="A15" s="12" t="s">
        <v>98</v>
      </c>
      <c r="B15" s="11" t="s">
        <v>102</v>
      </c>
      <c r="C15" s="8">
        <f>(C9+D9)/2</f>
        <v>92705.475000000006</v>
      </c>
      <c r="D15" s="8">
        <f t="shared" ref="D15:G15" si="2">(D9+E9)/2</f>
        <v>80049.36</v>
      </c>
      <c r="E15" s="8">
        <f t="shared" si="2"/>
        <v>66013.074999999997</v>
      </c>
      <c r="F15" s="8">
        <f t="shared" si="2"/>
        <v>64075.09</v>
      </c>
      <c r="G15" s="8">
        <f t="shared" si="2"/>
        <v>65903.34</v>
      </c>
      <c r="H15" s="8"/>
    </row>
    <row r="16" spans="1:8" x14ac:dyDescent="0.3">
      <c r="A16" s="12" t="s">
        <v>105</v>
      </c>
      <c r="B16" s="11" t="s">
        <v>99</v>
      </c>
      <c r="C16" s="8">
        <f>(C13/C4)*365</f>
        <v>61.426521769150696</v>
      </c>
      <c r="D16" s="8">
        <f t="shared" ref="D16:F16" si="3">(D13/D4)*365</f>
        <v>56.946326066124641</v>
      </c>
      <c r="E16" s="8">
        <f t="shared" si="3"/>
        <v>58.484050920669539</v>
      </c>
      <c r="F16" s="8">
        <f t="shared" si="3"/>
        <v>68.473754531395201</v>
      </c>
      <c r="G16" s="8">
        <f>(G13/G4)*365</f>
        <v>82.082926421317765</v>
      </c>
      <c r="H16" s="8"/>
    </row>
    <row r="17" spans="1:8" x14ac:dyDescent="0.3">
      <c r="A17" s="12" t="s">
        <v>106</v>
      </c>
      <c r="B17" s="11" t="s">
        <v>100</v>
      </c>
      <c r="C17" s="8">
        <f>(C14/C3)*365</f>
        <v>12.534746415128669</v>
      </c>
      <c r="D17" s="8">
        <f>(D14/D3)*365</f>
        <v>13.622988215613729</v>
      </c>
      <c r="E17" s="8">
        <f>(E14/E3)*365</f>
        <v>14.865195292059102</v>
      </c>
      <c r="F17" s="8">
        <f>(F14/F3)*365</f>
        <v>16.464569575356929</v>
      </c>
      <c r="G17" s="8">
        <f>(G14/G3)*365</f>
        <v>17.426098927219247</v>
      </c>
      <c r="H17" s="8"/>
    </row>
    <row r="18" spans="1:8" x14ac:dyDescent="0.3">
      <c r="A18" s="12" t="s">
        <v>107</v>
      </c>
      <c r="B18" s="11" t="s">
        <v>101</v>
      </c>
      <c r="C18" s="8">
        <f>(C15/C4)*365</f>
        <v>119.81353304321962</v>
      </c>
      <c r="D18" s="8">
        <f>(D15/D4)*365</f>
        <v>102.96651225574985</v>
      </c>
      <c r="E18" s="8">
        <f t="shared" ref="E18:G18" si="4">(E15/E4)*365</f>
        <v>101.60339376251738</v>
      </c>
      <c r="F18" s="8">
        <f t="shared" si="4"/>
        <v>123.02054676095815</v>
      </c>
      <c r="G18" s="8">
        <f t="shared" si="4"/>
        <v>147.10733395650576</v>
      </c>
      <c r="H18" s="8"/>
    </row>
    <row r="19" spans="1:8" x14ac:dyDescent="0.3">
      <c r="A19" s="12" t="s">
        <v>109</v>
      </c>
      <c r="B19" s="11" t="s">
        <v>108</v>
      </c>
      <c r="C19" s="8">
        <f>C16+C17-C18</f>
        <v>-45.852264858940259</v>
      </c>
      <c r="D19" s="8">
        <f t="shared" ref="D19:G19" si="5">D16+D17-D18</f>
        <v>-32.397197974011476</v>
      </c>
      <c r="E19" s="8">
        <f t="shared" si="5"/>
        <v>-28.25414754978874</v>
      </c>
      <c r="F19" s="8">
        <f t="shared" si="5"/>
        <v>-38.082222654206021</v>
      </c>
      <c r="G19" s="8">
        <f t="shared" si="5"/>
        <v>-47.598308607968747</v>
      </c>
      <c r="H19" s="8"/>
    </row>
    <row r="20" spans="1:8" x14ac:dyDescent="0.3">
      <c r="A20" s="12"/>
      <c r="B20" s="1"/>
      <c r="C20" s="8"/>
      <c r="D20" s="8"/>
      <c r="E20" s="8"/>
      <c r="F20" s="8"/>
      <c r="G20" s="8"/>
      <c r="H20" s="8"/>
    </row>
    <row r="21" spans="1:8" x14ac:dyDescent="0.3">
      <c r="A21" s="26" t="s">
        <v>32</v>
      </c>
      <c r="B21" s="26"/>
      <c r="C21" s="26"/>
      <c r="D21" s="26"/>
      <c r="E21" s="26"/>
      <c r="F21" s="26"/>
      <c r="G21" s="26"/>
      <c r="H21" s="26"/>
    </row>
    <row r="22" spans="1:8" x14ac:dyDescent="0.3">
      <c r="A22" s="11" t="s">
        <v>10</v>
      </c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12</v>
      </c>
    </row>
    <row r="23" spans="1:8" x14ac:dyDescent="0.3">
      <c r="A23" s="12" t="s">
        <v>8</v>
      </c>
      <c r="B23" s="3"/>
      <c r="C23" s="5">
        <v>158749.75</v>
      </c>
      <c r="D23" s="5">
        <v>138279.29999999999</v>
      </c>
      <c r="E23" s="5">
        <v>121268.55</v>
      </c>
      <c r="F23" s="5">
        <v>90170.57</v>
      </c>
      <c r="G23" s="5">
        <v>74277.78</v>
      </c>
      <c r="H23" s="5">
        <v>75381.929999999993</v>
      </c>
    </row>
    <row r="24" spans="1:8" x14ac:dyDescent="0.3">
      <c r="A24" s="12" t="s">
        <v>11</v>
      </c>
      <c r="B24" s="3"/>
      <c r="C24" s="6">
        <v>95742.720000000016</v>
      </c>
      <c r="D24" s="6">
        <v>83624.75</v>
      </c>
      <c r="E24" s="6">
        <v>73987.56</v>
      </c>
      <c r="F24" s="6">
        <v>51803.19</v>
      </c>
      <c r="G24" s="6">
        <v>38406.789999999994</v>
      </c>
      <c r="H24" s="6">
        <v>38421.9</v>
      </c>
    </row>
    <row r="25" spans="1:8" x14ac:dyDescent="0.3">
      <c r="A25" s="12" t="s">
        <v>28</v>
      </c>
      <c r="B25" s="4"/>
      <c r="C25" s="6">
        <v>126573.27</v>
      </c>
      <c r="D25" s="6">
        <v>98265.64</v>
      </c>
      <c r="E25" s="6">
        <v>91325.440000000002</v>
      </c>
      <c r="F25" s="6">
        <v>75148</v>
      </c>
      <c r="G25" s="6">
        <v>72137.91</v>
      </c>
      <c r="H25" s="6">
        <v>64045.43</v>
      </c>
    </row>
    <row r="26" spans="1:8" x14ac:dyDescent="0.3">
      <c r="A26" s="12" t="s">
        <v>5</v>
      </c>
      <c r="B26" s="1"/>
      <c r="C26" s="6">
        <v>20330.93</v>
      </c>
      <c r="D26" s="6">
        <v>18590.47</v>
      </c>
      <c r="E26" s="6">
        <v>16854.97</v>
      </c>
      <c r="F26" s="6">
        <v>11595.82</v>
      </c>
      <c r="G26" s="6">
        <v>9615.41</v>
      </c>
      <c r="H26" s="6">
        <v>11111.86</v>
      </c>
    </row>
    <row r="27" spans="1:8" x14ac:dyDescent="0.3">
      <c r="A27" s="12" t="s">
        <v>6</v>
      </c>
      <c r="B27" s="1"/>
      <c r="C27" s="6">
        <v>8279.7000000000007</v>
      </c>
      <c r="D27" s="6">
        <v>7459.4</v>
      </c>
      <c r="E27" s="6">
        <v>7028.02</v>
      </c>
      <c r="F27" s="6">
        <v>6373.95</v>
      </c>
      <c r="G27" s="6">
        <v>6007.76</v>
      </c>
      <c r="H27" s="6">
        <v>6928.28</v>
      </c>
    </row>
    <row r="28" spans="1:8" x14ac:dyDescent="0.3">
      <c r="A28" s="12" t="s">
        <v>29</v>
      </c>
      <c r="B28" s="4"/>
      <c r="C28" s="6">
        <v>90322.01</v>
      </c>
      <c r="D28" s="6">
        <v>75545.649999999994</v>
      </c>
      <c r="E28" s="6">
        <v>70579.41</v>
      </c>
      <c r="F28" s="6">
        <v>56288.33</v>
      </c>
      <c r="G28" s="6">
        <v>51446.01</v>
      </c>
      <c r="H28" s="6">
        <v>54009.52</v>
      </c>
    </row>
    <row r="29" spans="1:8" x14ac:dyDescent="0.3">
      <c r="A29" s="12" t="s">
        <v>7</v>
      </c>
      <c r="B29" s="1"/>
      <c r="C29" s="6">
        <v>30855.3</v>
      </c>
      <c r="D29" s="6">
        <v>25665.64</v>
      </c>
      <c r="E29" s="6">
        <v>23835.66</v>
      </c>
      <c r="F29" s="6">
        <v>19036.55</v>
      </c>
      <c r="G29" s="6">
        <v>15505.79</v>
      </c>
      <c r="H29" s="6">
        <v>14985.35</v>
      </c>
    </row>
    <row r="30" spans="1:8" x14ac:dyDescent="0.3">
      <c r="A30" s="12"/>
      <c r="B30" s="1"/>
      <c r="C30" s="6"/>
      <c r="D30" s="6"/>
      <c r="E30" s="6"/>
      <c r="F30" s="6"/>
      <c r="G30" s="6"/>
      <c r="H30" s="6"/>
    </row>
    <row r="31" spans="1:8" x14ac:dyDescent="0.3">
      <c r="A31" s="4" t="s">
        <v>93</v>
      </c>
      <c r="B31" s="1"/>
      <c r="C31" s="8"/>
      <c r="D31" s="8"/>
      <c r="E31" s="8"/>
      <c r="F31" s="8"/>
      <c r="G31" s="8"/>
      <c r="H31" s="8"/>
    </row>
    <row r="32" spans="1:8" x14ac:dyDescent="0.3">
      <c r="A32" s="12" t="s">
        <v>94</v>
      </c>
      <c r="B32" s="11" t="s">
        <v>95</v>
      </c>
      <c r="C32" s="8">
        <f>C25-C28</f>
        <v>36251.260000000009</v>
      </c>
      <c r="D32" s="8">
        <f t="shared" ref="D32:G32" si="6">D25-D28</f>
        <v>22719.990000000005</v>
      </c>
      <c r="E32" s="8">
        <f t="shared" si="6"/>
        <v>20746.03</v>
      </c>
      <c r="F32" s="8">
        <f t="shared" si="6"/>
        <v>18859.669999999998</v>
      </c>
      <c r="G32" s="8">
        <f t="shared" si="6"/>
        <v>20691.900000000001</v>
      </c>
      <c r="H32" s="8">
        <f>H25-H28</f>
        <v>10035.910000000003</v>
      </c>
    </row>
    <row r="33" spans="1:8" x14ac:dyDescent="0.3">
      <c r="A33" s="12" t="s">
        <v>96</v>
      </c>
      <c r="B33" s="11" t="s">
        <v>103</v>
      </c>
      <c r="C33" s="8">
        <f>(C26+D26)/2</f>
        <v>19460.7</v>
      </c>
      <c r="D33" s="8">
        <f>(D26+E26)/2</f>
        <v>17722.72</v>
      </c>
      <c r="E33" s="8">
        <f>(E26+F26)/2</f>
        <v>14225.395</v>
      </c>
      <c r="F33" s="8">
        <f>(F26+G26)/2</f>
        <v>10605.615</v>
      </c>
      <c r="G33" s="8">
        <f>(G26+H26)/2</f>
        <v>10363.635</v>
      </c>
      <c r="H33" s="8"/>
    </row>
    <row r="34" spans="1:8" x14ac:dyDescent="0.3">
      <c r="A34" s="12" t="s">
        <v>97</v>
      </c>
      <c r="B34" s="11" t="s">
        <v>104</v>
      </c>
      <c r="C34" s="2">
        <f>(C27+D27)/2</f>
        <v>7869.55</v>
      </c>
      <c r="D34" s="2">
        <f t="shared" ref="D34:G34" si="7">(D27+E27)/2</f>
        <v>7243.71</v>
      </c>
      <c r="E34" s="2">
        <f t="shared" si="7"/>
        <v>6700.9850000000006</v>
      </c>
      <c r="F34" s="2">
        <f t="shared" si="7"/>
        <v>6190.8549999999996</v>
      </c>
      <c r="G34" s="2">
        <f t="shared" si="7"/>
        <v>6468.02</v>
      </c>
    </row>
    <row r="35" spans="1:8" x14ac:dyDescent="0.3">
      <c r="A35" s="12" t="s">
        <v>98</v>
      </c>
      <c r="B35" s="11" t="s">
        <v>102</v>
      </c>
      <c r="C35" s="8">
        <f>(C29+D29)/2</f>
        <v>28260.47</v>
      </c>
      <c r="D35" s="8">
        <f t="shared" ref="D35:G35" si="8">(D29+E29)/2</f>
        <v>24750.65</v>
      </c>
      <c r="E35" s="8">
        <f t="shared" si="8"/>
        <v>21436.105</v>
      </c>
      <c r="F35" s="8">
        <f t="shared" si="8"/>
        <v>17271.169999999998</v>
      </c>
      <c r="G35" s="8">
        <f t="shared" si="8"/>
        <v>15245.57</v>
      </c>
      <c r="H35" s="8"/>
    </row>
    <row r="36" spans="1:8" x14ac:dyDescent="0.3">
      <c r="A36" s="12" t="s">
        <v>105</v>
      </c>
      <c r="B36" s="11" t="s">
        <v>99</v>
      </c>
      <c r="C36" s="8">
        <f>(C33/C24)*365</f>
        <v>74.190032411863783</v>
      </c>
      <c r="D36" s="8">
        <f t="shared" ref="D36:F36" si="9">(D33/D24)*365</f>
        <v>77.355003153970571</v>
      </c>
      <c r="E36" s="8">
        <f t="shared" si="9"/>
        <v>70.177597085239739</v>
      </c>
      <c r="F36" s="8">
        <f t="shared" si="9"/>
        <v>74.726082988325615</v>
      </c>
      <c r="G36" s="8">
        <f>(G33/G24)*365</f>
        <v>98.491094283068179</v>
      </c>
      <c r="H36" s="8"/>
    </row>
    <row r="37" spans="1:8" x14ac:dyDescent="0.3">
      <c r="A37" s="12" t="s">
        <v>106</v>
      </c>
      <c r="B37" s="11" t="s">
        <v>100</v>
      </c>
      <c r="C37" s="8">
        <f>(C34/C23)*365</f>
        <v>18.09379699810551</v>
      </c>
      <c r="D37" s="8">
        <f>(D34/D23)*365</f>
        <v>19.120390036686622</v>
      </c>
      <c r="E37" s="8">
        <f>(E34/E23)*365</f>
        <v>20.168951677908247</v>
      </c>
      <c r="F37" s="8">
        <f>(F34/F23)*365</f>
        <v>25.059862380818927</v>
      </c>
      <c r="G37" s="8">
        <f>(G34/G23)*365</f>
        <v>31.783762250298814</v>
      </c>
      <c r="H37" s="8"/>
    </row>
    <row r="38" spans="1:8" x14ac:dyDescent="0.3">
      <c r="A38" s="12" t="s">
        <v>107</v>
      </c>
      <c r="B38" s="11" t="s">
        <v>101</v>
      </c>
      <c r="C38" s="8">
        <f>(C35/C24)*365</f>
        <v>107.7373982063597</v>
      </c>
      <c r="D38" s="8">
        <f>(D35/D24)*365</f>
        <v>108.03006585968868</v>
      </c>
      <c r="E38" s="8">
        <f t="shared" ref="E38:G38" si="10">(E35/E24)*365</f>
        <v>105.74991694549732</v>
      </c>
      <c r="F38" s="8">
        <f t="shared" si="10"/>
        <v>121.6909045562638</v>
      </c>
      <c r="G38" s="8">
        <f t="shared" si="10"/>
        <v>144.88669972158573</v>
      </c>
      <c r="H38" s="8"/>
    </row>
    <row r="39" spans="1:8" x14ac:dyDescent="0.3">
      <c r="A39" s="12" t="s">
        <v>109</v>
      </c>
      <c r="B39" s="11" t="s">
        <v>108</v>
      </c>
      <c r="C39" s="8">
        <f>C36+C37-C38</f>
        <v>-15.453568796390414</v>
      </c>
      <c r="D39" s="8">
        <f t="shared" ref="D39" si="11">D36+D37-D38</f>
        <v>-11.554672669031476</v>
      </c>
      <c r="E39" s="8">
        <f t="shared" ref="E39" si="12">E36+E37-E38</f>
        <v>-15.40336818234934</v>
      </c>
      <c r="F39" s="8">
        <f t="shared" ref="F39" si="13">F36+F37-F38</f>
        <v>-21.90495918711926</v>
      </c>
      <c r="G39" s="8">
        <f t="shared" ref="G39" si="14">G36+G37-G38</f>
        <v>-14.611843188218728</v>
      </c>
      <c r="H39" s="8"/>
    </row>
    <row r="40" spans="1:8" x14ac:dyDescent="0.3">
      <c r="A40" s="12"/>
      <c r="B40" s="1"/>
      <c r="C40" s="6"/>
      <c r="D40" s="6"/>
      <c r="E40" s="6"/>
      <c r="F40" s="6"/>
      <c r="G40" s="6"/>
      <c r="H40" s="6"/>
    </row>
    <row r="41" spans="1:8" x14ac:dyDescent="0.3">
      <c r="A41" s="26" t="s">
        <v>33</v>
      </c>
      <c r="B41" s="26"/>
      <c r="C41" s="26"/>
      <c r="D41" s="26"/>
      <c r="E41" s="26"/>
      <c r="F41" s="26"/>
      <c r="G41" s="26"/>
      <c r="H41" s="26"/>
    </row>
    <row r="42" spans="1:8" x14ac:dyDescent="0.3">
      <c r="A42" s="11" t="s">
        <v>10</v>
      </c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12</v>
      </c>
    </row>
    <row r="43" spans="1:8" x14ac:dyDescent="0.3">
      <c r="A43" s="12" t="s">
        <v>8</v>
      </c>
      <c r="B43" s="3"/>
      <c r="C43" s="6">
        <v>152913</v>
      </c>
      <c r="D43" s="6">
        <v>141858.20000000001</v>
      </c>
      <c r="E43" s="6">
        <v>117571.3</v>
      </c>
      <c r="F43" s="6">
        <v>88329.8</v>
      </c>
      <c r="G43" s="6">
        <v>70372</v>
      </c>
      <c r="H43" s="7">
        <v>75660</v>
      </c>
    </row>
    <row r="44" spans="1:8" x14ac:dyDescent="0.3">
      <c r="A44" s="12" t="s">
        <v>11</v>
      </c>
      <c r="B44" s="3"/>
      <c r="C44" s="7">
        <v>107490.8</v>
      </c>
      <c r="D44" s="7">
        <v>99740.9</v>
      </c>
      <c r="E44" s="7">
        <v>86250.8</v>
      </c>
      <c r="F44" s="7">
        <v>66044</v>
      </c>
      <c r="G44" s="7">
        <v>50824.1</v>
      </c>
      <c r="H44" s="7">
        <f>34634+18767.2-238.7</f>
        <v>53162.5</v>
      </c>
    </row>
    <row r="45" spans="1:8" x14ac:dyDescent="0.3">
      <c r="A45" s="12" t="s">
        <v>28</v>
      </c>
      <c r="B45" s="3"/>
      <c r="C45" s="7">
        <v>29524.2</v>
      </c>
      <c r="D45" s="7">
        <v>22633.8</v>
      </c>
      <c r="E45" s="7">
        <v>11615.6</v>
      </c>
      <c r="F45" s="7">
        <v>16793.400000000001</v>
      </c>
      <c r="G45" s="7">
        <v>18544.3</v>
      </c>
      <c r="H45" s="7">
        <v>8440.6</v>
      </c>
    </row>
    <row r="46" spans="1:8" x14ac:dyDescent="0.3">
      <c r="A46" s="12" t="s">
        <v>5</v>
      </c>
      <c r="B46" s="1"/>
      <c r="C46" s="6">
        <v>6913.2</v>
      </c>
      <c r="D46" s="6">
        <v>5318.1</v>
      </c>
      <c r="E46" s="6">
        <v>4283.5</v>
      </c>
      <c r="F46" s="6">
        <v>3532.3</v>
      </c>
      <c r="G46" s="6">
        <v>3049</v>
      </c>
      <c r="H46" s="7">
        <v>3213.9</v>
      </c>
    </row>
    <row r="47" spans="1:8" x14ac:dyDescent="0.3">
      <c r="A47" s="12" t="s">
        <v>6</v>
      </c>
      <c r="B47" s="1"/>
      <c r="C47" s="6">
        <v>6539.7</v>
      </c>
      <c r="D47" s="6">
        <v>4596.8</v>
      </c>
      <c r="E47" s="6">
        <v>3301.4</v>
      </c>
      <c r="F47" s="6">
        <v>2034.5</v>
      </c>
      <c r="G47" s="6">
        <v>1279.9000000000001</v>
      </c>
      <c r="H47" s="6">
        <v>1977.7</v>
      </c>
    </row>
    <row r="48" spans="1:8" x14ac:dyDescent="0.3">
      <c r="A48" s="12" t="s">
        <v>29</v>
      </c>
      <c r="B48" s="3"/>
      <c r="C48" s="7">
        <v>30570.5</v>
      </c>
      <c r="D48" s="7">
        <v>25951.8</v>
      </c>
      <c r="E48" s="7">
        <v>20107.3</v>
      </c>
      <c r="F48" s="7">
        <v>17023.5</v>
      </c>
      <c r="G48" s="7">
        <v>16120.5</v>
      </c>
      <c r="H48" s="7">
        <v>11305.4</v>
      </c>
    </row>
    <row r="49" spans="1:8" x14ac:dyDescent="0.3">
      <c r="A49" s="12" t="s">
        <v>7</v>
      </c>
      <c r="B49" s="1"/>
      <c r="C49" s="6">
        <v>20501.5</v>
      </c>
      <c r="D49" s="6">
        <v>16988.400000000001</v>
      </c>
      <c r="E49" s="6">
        <v>11785.5</v>
      </c>
      <c r="F49" s="6">
        <v>9765.2000000000007</v>
      </c>
      <c r="G49" s="6">
        <v>10168.1</v>
      </c>
      <c r="H49" s="7">
        <v>7498.8</v>
      </c>
    </row>
    <row r="50" spans="1:8" x14ac:dyDescent="0.3">
      <c r="A50" s="12"/>
      <c r="B50" s="1"/>
      <c r="C50" s="6"/>
      <c r="D50" s="6"/>
      <c r="E50" s="6"/>
      <c r="F50" s="6"/>
      <c r="G50" s="6"/>
      <c r="H50" s="7"/>
    </row>
    <row r="51" spans="1:8" x14ac:dyDescent="0.3">
      <c r="A51" s="4" t="s">
        <v>93</v>
      </c>
      <c r="B51" s="1"/>
      <c r="C51" s="8"/>
      <c r="D51" s="8"/>
      <c r="E51" s="8"/>
      <c r="F51" s="8"/>
      <c r="G51" s="8"/>
      <c r="H51" s="8"/>
    </row>
    <row r="52" spans="1:8" x14ac:dyDescent="0.3">
      <c r="A52" s="12" t="s">
        <v>94</v>
      </c>
      <c r="B52" s="11" t="s">
        <v>95</v>
      </c>
      <c r="C52" s="8">
        <f>C45-C48</f>
        <v>-1046.2999999999993</v>
      </c>
      <c r="D52" s="8">
        <f t="shared" ref="D52:G52" si="15">D45-D48</f>
        <v>-3318</v>
      </c>
      <c r="E52" s="8">
        <f t="shared" si="15"/>
        <v>-8491.6999999999989</v>
      </c>
      <c r="F52" s="8">
        <f t="shared" si="15"/>
        <v>-230.09999999999854</v>
      </c>
      <c r="G52" s="8">
        <f t="shared" si="15"/>
        <v>2423.7999999999993</v>
      </c>
      <c r="H52" s="8">
        <f>H45-H48</f>
        <v>-2864.7999999999993</v>
      </c>
    </row>
    <row r="53" spans="1:8" x14ac:dyDescent="0.3">
      <c r="A53" s="12" t="s">
        <v>96</v>
      </c>
      <c r="B53" s="11" t="s">
        <v>103</v>
      </c>
      <c r="C53" s="8">
        <f>(C46+D46)/2</f>
        <v>6115.65</v>
      </c>
      <c r="D53" s="8">
        <f>(D46+E46)/2</f>
        <v>4800.8</v>
      </c>
      <c r="E53" s="8">
        <f>(E46+F46)/2</f>
        <v>3907.9</v>
      </c>
      <c r="F53" s="8">
        <f>(F46+G46)/2</f>
        <v>3290.65</v>
      </c>
      <c r="G53" s="8">
        <f>(G46+H46)/2</f>
        <v>3131.45</v>
      </c>
      <c r="H53" s="8"/>
    </row>
    <row r="54" spans="1:8" x14ac:dyDescent="0.3">
      <c r="A54" s="12" t="s">
        <v>97</v>
      </c>
      <c r="B54" s="11" t="s">
        <v>104</v>
      </c>
      <c r="C54" s="2">
        <f>(C47+D47)/2</f>
        <v>5568.25</v>
      </c>
      <c r="D54" s="2">
        <f t="shared" ref="D54:G54" si="16">(D47+E47)/2</f>
        <v>3949.1000000000004</v>
      </c>
      <c r="E54" s="2">
        <f t="shared" si="16"/>
        <v>2667.95</v>
      </c>
      <c r="F54" s="2">
        <f t="shared" si="16"/>
        <v>1657.2</v>
      </c>
      <c r="G54" s="2">
        <f t="shared" si="16"/>
        <v>1628.8000000000002</v>
      </c>
    </row>
    <row r="55" spans="1:8" x14ac:dyDescent="0.3">
      <c r="A55" s="12" t="s">
        <v>98</v>
      </c>
      <c r="B55" s="11" t="s">
        <v>102</v>
      </c>
      <c r="C55" s="8">
        <f>(C49+D49)/2</f>
        <v>18744.95</v>
      </c>
      <c r="D55" s="8">
        <f t="shared" ref="D55:G55" si="17">(D49+E49)/2</f>
        <v>14386.95</v>
      </c>
      <c r="E55" s="8">
        <f t="shared" si="17"/>
        <v>10775.35</v>
      </c>
      <c r="F55" s="8">
        <f t="shared" si="17"/>
        <v>9966.6500000000015</v>
      </c>
      <c r="G55" s="8">
        <f t="shared" si="17"/>
        <v>8833.4500000000007</v>
      </c>
      <c r="H55" s="8"/>
    </row>
    <row r="56" spans="1:8" x14ac:dyDescent="0.3">
      <c r="A56" s="12" t="s">
        <v>105</v>
      </c>
      <c r="B56" s="11" t="s">
        <v>99</v>
      </c>
      <c r="C56" s="8">
        <f>(C53/C44)*365</f>
        <v>20.766542345949606</v>
      </c>
      <c r="D56" s="8">
        <f t="shared" ref="D56:F56" si="18">(D53/D44)*365</f>
        <v>17.568439827593298</v>
      </c>
      <c r="E56" s="8">
        <f t="shared" si="18"/>
        <v>16.537626317668938</v>
      </c>
      <c r="F56" s="8">
        <f t="shared" si="18"/>
        <v>18.186167554963358</v>
      </c>
      <c r="G56" s="8">
        <f>(G53/G44)*365</f>
        <v>22.488922578068276</v>
      </c>
      <c r="H56" s="8"/>
    </row>
    <row r="57" spans="1:8" x14ac:dyDescent="0.3">
      <c r="A57" s="12" t="s">
        <v>106</v>
      </c>
      <c r="B57" s="11" t="s">
        <v>100</v>
      </c>
      <c r="C57" s="8">
        <f>(C54/C43)*365</f>
        <v>13.291291453310054</v>
      </c>
      <c r="D57" s="8">
        <f>(D54/D43)*365</f>
        <v>10.161002324856794</v>
      </c>
      <c r="E57" s="8">
        <f>(E54/E43)*365</f>
        <v>8.2826484864928762</v>
      </c>
      <c r="F57" s="8">
        <f>(F54/F43)*365</f>
        <v>6.8479493896737003</v>
      </c>
      <c r="G57" s="8">
        <f>(G54/G43)*365</f>
        <v>8.4481327800829877</v>
      </c>
      <c r="H57" s="8"/>
    </row>
    <row r="58" spans="1:8" x14ac:dyDescent="0.3">
      <c r="A58" s="12" t="s">
        <v>107</v>
      </c>
      <c r="B58" s="11" t="s">
        <v>101</v>
      </c>
      <c r="C58" s="8">
        <f>(C55/C44)*365</f>
        <v>63.651091535275583</v>
      </c>
      <c r="D58" s="8">
        <f>(D55/D44)*365</f>
        <v>52.648780490250246</v>
      </c>
      <c r="E58" s="8">
        <f t="shared" ref="E58:G58" si="19">(E55/E44)*365</f>
        <v>45.599608931163537</v>
      </c>
      <c r="F58" s="8">
        <f t="shared" si="19"/>
        <v>55.081873448004366</v>
      </c>
      <c r="G58" s="8">
        <f t="shared" si="19"/>
        <v>63.438590157031804</v>
      </c>
      <c r="H58" s="8"/>
    </row>
    <row r="59" spans="1:8" x14ac:dyDescent="0.3">
      <c r="A59" s="12" t="s">
        <v>109</v>
      </c>
      <c r="B59" s="11" t="s">
        <v>108</v>
      </c>
      <c r="C59" s="8">
        <f>C56+C57-C58</f>
        <v>-29.593257736015921</v>
      </c>
      <c r="D59" s="8">
        <f t="shared" ref="D59" si="20">D56+D57-D58</f>
        <v>-24.919338337800156</v>
      </c>
      <c r="E59" s="8">
        <f t="shared" ref="E59" si="21">E56+E57-E58</f>
        <v>-20.779334127001725</v>
      </c>
      <c r="F59" s="8">
        <f t="shared" ref="F59" si="22">F56+F57-F58</f>
        <v>-30.047756503367307</v>
      </c>
      <c r="G59" s="8">
        <f t="shared" ref="G59" si="23">G56+G57-G58</f>
        <v>-32.501534798880542</v>
      </c>
      <c r="H59" s="8"/>
    </row>
    <row r="60" spans="1:8" x14ac:dyDescent="0.3">
      <c r="A60" s="12"/>
      <c r="B60" s="1"/>
      <c r="C60" s="6"/>
      <c r="D60" s="6"/>
      <c r="E60" s="6"/>
      <c r="F60" s="6"/>
      <c r="G60" s="6"/>
      <c r="H60" s="7"/>
    </row>
    <row r="61" spans="1:8" x14ac:dyDescent="0.3">
      <c r="A61" s="26" t="s">
        <v>34</v>
      </c>
      <c r="B61" s="26"/>
      <c r="C61" s="26"/>
      <c r="D61" s="26"/>
      <c r="E61" s="26"/>
      <c r="F61" s="26"/>
      <c r="G61" s="26"/>
      <c r="H61" s="26"/>
    </row>
    <row r="62" spans="1:8" x14ac:dyDescent="0.3">
      <c r="A62" s="11" t="s">
        <v>10</v>
      </c>
      <c r="B62" s="1"/>
      <c r="C62" s="1" t="s">
        <v>0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12</v>
      </c>
    </row>
    <row r="63" spans="1:8" x14ac:dyDescent="0.3">
      <c r="A63" s="12" t="s">
        <v>8</v>
      </c>
      <c r="B63" s="3"/>
      <c r="C63" s="6">
        <v>113662.6</v>
      </c>
      <c r="D63" s="6">
        <v>98691.7</v>
      </c>
      <c r="E63" s="6">
        <v>78700.7</v>
      </c>
      <c r="F63" s="6">
        <v>63536</v>
      </c>
      <c r="G63" s="6">
        <v>57369.9</v>
      </c>
      <c r="H63" s="6">
        <v>60728.9</v>
      </c>
    </row>
    <row r="64" spans="1:8" x14ac:dyDescent="0.3">
      <c r="A64" s="12" t="s">
        <v>11</v>
      </c>
      <c r="B64" s="3"/>
      <c r="C64" s="6">
        <v>61052.2</v>
      </c>
      <c r="D64" s="6">
        <v>54414.7</v>
      </c>
      <c r="E64" s="6">
        <v>45317.4</v>
      </c>
      <c r="F64" s="6">
        <v>36736.300000000003</v>
      </c>
      <c r="G64" s="6">
        <v>32597.899999999998</v>
      </c>
      <c r="H64" s="7">
        <f>34285+710-26</f>
        <v>34969</v>
      </c>
    </row>
    <row r="65" spans="1:8" x14ac:dyDescent="0.3">
      <c r="A65" s="12" t="s">
        <v>28</v>
      </c>
      <c r="B65" s="3"/>
      <c r="C65" s="6">
        <v>43307.9</v>
      </c>
      <c r="D65" s="6">
        <v>40272.199999999997</v>
      </c>
      <c r="E65" s="6">
        <v>26779.200000000001</v>
      </c>
      <c r="F65" s="6">
        <v>22616.3</v>
      </c>
      <c r="G65" s="6">
        <v>22027.5</v>
      </c>
      <c r="H65" s="7">
        <v>19465.400000000001</v>
      </c>
    </row>
    <row r="66" spans="1:8" x14ac:dyDescent="0.3">
      <c r="A66" s="12" t="s">
        <v>5</v>
      </c>
      <c r="B66" s="1"/>
      <c r="C66" s="6">
        <v>10787.3</v>
      </c>
      <c r="D66" s="6">
        <v>9138.6</v>
      </c>
      <c r="E66" s="6">
        <v>7822.8</v>
      </c>
      <c r="F66" s="6">
        <v>6441.7</v>
      </c>
      <c r="G66" s="6">
        <v>4995.6000000000004</v>
      </c>
      <c r="H66" s="6">
        <v>5156.6000000000004</v>
      </c>
    </row>
    <row r="67" spans="1:8" x14ac:dyDescent="0.3">
      <c r="A67" s="12" t="s">
        <v>6</v>
      </c>
      <c r="B67" s="1"/>
      <c r="C67" s="6">
        <v>17430.7</v>
      </c>
      <c r="D67" s="6">
        <v>15637.1</v>
      </c>
      <c r="E67" s="6">
        <v>8513.5</v>
      </c>
      <c r="F67" s="6">
        <v>6573.1</v>
      </c>
      <c r="G67" s="6">
        <v>5693.1</v>
      </c>
      <c r="H67" s="6">
        <v>5178.3999999999996</v>
      </c>
    </row>
    <row r="68" spans="1:8" x14ac:dyDescent="0.3">
      <c r="A68" s="12" t="s">
        <v>29</v>
      </c>
      <c r="B68" s="3"/>
      <c r="C68" s="6">
        <v>42069.4</v>
      </c>
      <c r="D68" s="6">
        <v>41720.400000000001</v>
      </c>
      <c r="E68" s="6">
        <v>27515.4</v>
      </c>
      <c r="F68" s="6">
        <v>22285.3</v>
      </c>
      <c r="G68" s="6">
        <v>21129.599999999999</v>
      </c>
      <c r="H68" s="7">
        <v>19570.8</v>
      </c>
    </row>
    <row r="69" spans="1:8" x14ac:dyDescent="0.3">
      <c r="A69" s="12" t="s">
        <v>7</v>
      </c>
      <c r="B69" s="1"/>
      <c r="C69" s="6">
        <v>23669.200000000001</v>
      </c>
      <c r="D69" s="6">
        <v>22617.200000000001</v>
      </c>
      <c r="E69" s="6">
        <v>14136.3</v>
      </c>
      <c r="F69" s="6">
        <v>11360.3</v>
      </c>
      <c r="G69" s="6">
        <v>11140.6</v>
      </c>
      <c r="H69" s="6">
        <v>10309.1</v>
      </c>
    </row>
    <row r="70" spans="1:8" x14ac:dyDescent="0.3">
      <c r="A70" s="14"/>
      <c r="B70" s="2"/>
      <c r="C70" s="2"/>
      <c r="D70" s="2"/>
      <c r="E70" s="2"/>
      <c r="F70" s="2"/>
      <c r="G70" s="2"/>
      <c r="H70" s="2"/>
    </row>
    <row r="71" spans="1:8" x14ac:dyDescent="0.3">
      <c r="A71" s="4" t="s">
        <v>93</v>
      </c>
      <c r="B71" s="1"/>
      <c r="C71" s="8"/>
      <c r="D71" s="8"/>
      <c r="E71" s="8"/>
      <c r="F71" s="8"/>
      <c r="G71" s="8"/>
      <c r="H71" s="8"/>
    </row>
    <row r="72" spans="1:8" x14ac:dyDescent="0.3">
      <c r="A72" s="12" t="s">
        <v>94</v>
      </c>
      <c r="B72" s="11" t="s">
        <v>95</v>
      </c>
      <c r="C72" s="8">
        <f>C65-C68</f>
        <v>1238.5</v>
      </c>
      <c r="D72" s="8">
        <f t="shared" ref="D72:G72" si="24">D65-D68</f>
        <v>-1448.2000000000044</v>
      </c>
      <c r="E72" s="8">
        <f t="shared" si="24"/>
        <v>-736.20000000000073</v>
      </c>
      <c r="F72" s="8">
        <f t="shared" si="24"/>
        <v>331</v>
      </c>
      <c r="G72" s="8">
        <f t="shared" si="24"/>
        <v>897.90000000000146</v>
      </c>
      <c r="H72" s="8">
        <f>H65-H68</f>
        <v>-105.39999999999782</v>
      </c>
    </row>
    <row r="73" spans="1:8" x14ac:dyDescent="0.3">
      <c r="A73" s="12" t="s">
        <v>96</v>
      </c>
      <c r="B73" s="11" t="s">
        <v>103</v>
      </c>
      <c r="C73" s="8">
        <f>(C66+D66)/2</f>
        <v>9962.9500000000007</v>
      </c>
      <c r="D73" s="8">
        <f>(D66+E66)/2</f>
        <v>8480.7000000000007</v>
      </c>
      <c r="E73" s="8">
        <f>(E66+F66)/2</f>
        <v>7132.25</v>
      </c>
      <c r="F73" s="8">
        <f>(F66+G66)/2</f>
        <v>5718.65</v>
      </c>
      <c r="G73" s="8">
        <f>(G66+H66)/2</f>
        <v>5076.1000000000004</v>
      </c>
      <c r="H73" s="8"/>
    </row>
    <row r="74" spans="1:8" x14ac:dyDescent="0.3">
      <c r="A74" s="12" t="s">
        <v>97</v>
      </c>
      <c r="B74" s="11" t="s">
        <v>104</v>
      </c>
      <c r="C74" s="2">
        <f>(C67+D67)/2</f>
        <v>16533.900000000001</v>
      </c>
      <c r="D74" s="2">
        <f t="shared" ref="D74:G74" si="25">(D67+E67)/2</f>
        <v>12075.3</v>
      </c>
      <c r="E74" s="2">
        <f t="shared" si="25"/>
        <v>7543.3</v>
      </c>
      <c r="F74" s="2">
        <f t="shared" si="25"/>
        <v>6133.1</v>
      </c>
      <c r="G74" s="2">
        <f t="shared" si="25"/>
        <v>5435.75</v>
      </c>
    </row>
    <row r="75" spans="1:8" x14ac:dyDescent="0.3">
      <c r="A75" s="12" t="s">
        <v>98</v>
      </c>
      <c r="B75" s="11" t="s">
        <v>102</v>
      </c>
      <c r="C75" s="8">
        <f>(C69+D69)/2</f>
        <v>23143.200000000001</v>
      </c>
      <c r="D75" s="8">
        <f t="shared" ref="D75:G75" si="26">(D69+E69)/2</f>
        <v>18376.75</v>
      </c>
      <c r="E75" s="8">
        <f t="shared" si="26"/>
        <v>12748.3</v>
      </c>
      <c r="F75" s="8">
        <f t="shared" si="26"/>
        <v>11250.45</v>
      </c>
      <c r="G75" s="8">
        <f t="shared" si="26"/>
        <v>10724.85</v>
      </c>
      <c r="H75" s="8"/>
    </row>
    <row r="76" spans="1:8" x14ac:dyDescent="0.3">
      <c r="A76" s="12" t="s">
        <v>105</v>
      </c>
      <c r="B76" s="11" t="s">
        <v>99</v>
      </c>
      <c r="C76" s="8">
        <f>(C73/C64)*365</f>
        <v>59.56340230163697</v>
      </c>
      <c r="D76" s="8">
        <f t="shared" ref="D76:F76" si="27">(D73/D64)*365</f>
        <v>56.886383642655396</v>
      </c>
      <c r="E76" s="8">
        <f t="shared" si="27"/>
        <v>57.445291433312583</v>
      </c>
      <c r="F76" s="8">
        <f t="shared" si="27"/>
        <v>56.818657567583017</v>
      </c>
      <c r="G76" s="8">
        <f>(G73/G64)*365</f>
        <v>56.837296267550983</v>
      </c>
      <c r="H76" s="8"/>
    </row>
    <row r="77" spans="1:8" x14ac:dyDescent="0.3">
      <c r="A77" s="12" t="s">
        <v>106</v>
      </c>
      <c r="B77" s="11" t="s">
        <v>100</v>
      </c>
      <c r="C77" s="8">
        <f>(C74/C63)*365</f>
        <v>53.094628312215278</v>
      </c>
      <c r="D77" s="8">
        <f>(D74/D63)*365</f>
        <v>44.659120270498931</v>
      </c>
      <c r="E77" s="8">
        <f>(E74/E63)*365</f>
        <v>34.984498231908994</v>
      </c>
      <c r="F77" s="8">
        <f>(F74/F63)*365</f>
        <v>35.233277197179554</v>
      </c>
      <c r="G77" s="8">
        <f>(G74/G63)*365</f>
        <v>34.583444454321864</v>
      </c>
      <c r="H77" s="8"/>
    </row>
    <row r="78" spans="1:8" x14ac:dyDescent="0.3">
      <c r="A78" s="12" t="s">
        <v>107</v>
      </c>
      <c r="B78" s="11" t="s">
        <v>101</v>
      </c>
      <c r="C78" s="8">
        <f>(C75/C64)*365</f>
        <v>138.3614022099122</v>
      </c>
      <c r="D78" s="8">
        <f>(D75/D64)*365</f>
        <v>123.26657594363289</v>
      </c>
      <c r="E78" s="8">
        <f t="shared" ref="E78:G78" si="28">(E75/E64)*365</f>
        <v>102.67865102587527</v>
      </c>
      <c r="F78" s="8">
        <f t="shared" si="28"/>
        <v>111.78083394353813</v>
      </c>
      <c r="G78" s="8">
        <f t="shared" si="28"/>
        <v>120.08657766297831</v>
      </c>
      <c r="H78" s="8"/>
    </row>
    <row r="79" spans="1:8" x14ac:dyDescent="0.3">
      <c r="A79" s="12" t="s">
        <v>109</v>
      </c>
      <c r="B79" s="11" t="s">
        <v>108</v>
      </c>
      <c r="C79" s="8">
        <f>C76+C77-C78</f>
        <v>-25.703371596059952</v>
      </c>
      <c r="D79" s="8">
        <f t="shared" ref="D79" si="29">D76+D77-D78</f>
        <v>-21.721072030478553</v>
      </c>
      <c r="E79" s="8">
        <f t="shared" ref="E79" si="30">E76+E77-E78</f>
        <v>-10.248861360653692</v>
      </c>
      <c r="F79" s="8">
        <f t="shared" ref="F79" si="31">F76+F77-F78</f>
        <v>-19.728899178775563</v>
      </c>
      <c r="G79" s="8">
        <f t="shared" ref="G79" si="32">G76+G77-G78</f>
        <v>-28.665836941105468</v>
      </c>
      <c r="H79" s="8"/>
    </row>
    <row r="80" spans="1:8" x14ac:dyDescent="0.3">
      <c r="A80" s="14"/>
      <c r="B80" s="2"/>
      <c r="C80" s="2"/>
      <c r="D80" s="2"/>
      <c r="E80" s="2"/>
      <c r="F80" s="2"/>
      <c r="G80" s="2"/>
      <c r="H80" s="2"/>
    </row>
    <row r="81" spans="1:8" x14ac:dyDescent="0.3">
      <c r="A81" s="26" t="s">
        <v>35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11" t="s">
        <v>10</v>
      </c>
      <c r="B82" s="1"/>
      <c r="C82" s="1" t="s">
        <v>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12</v>
      </c>
    </row>
    <row r="83" spans="1:8" x14ac:dyDescent="0.3">
      <c r="A83" s="12" t="s">
        <v>8</v>
      </c>
      <c r="B83" s="3"/>
      <c r="C83" s="6">
        <v>69192.89</v>
      </c>
      <c r="D83" s="6">
        <v>69829.06</v>
      </c>
      <c r="E83" s="6">
        <v>60307.58</v>
      </c>
      <c r="F83" s="6">
        <v>47378.43</v>
      </c>
      <c r="G83" s="6">
        <v>40674.01</v>
      </c>
      <c r="H83" s="7">
        <v>42978.63</v>
      </c>
    </row>
    <row r="84" spans="1:8" x14ac:dyDescent="0.3">
      <c r="A84" s="12" t="s">
        <v>11</v>
      </c>
      <c r="B84" s="3"/>
      <c r="C84" s="6">
        <v>49970.39</v>
      </c>
      <c r="D84" s="6">
        <v>51592.95</v>
      </c>
      <c r="E84" s="6">
        <v>45029.939999999995</v>
      </c>
      <c r="F84" s="6">
        <v>35825.1</v>
      </c>
      <c r="G84" s="6">
        <f>30469.68+755.3+104.81</f>
        <v>31329.79</v>
      </c>
      <c r="H84" s="7">
        <f>31706.7+1050+46.35</f>
        <v>32803.050000000003</v>
      </c>
    </row>
    <row r="85" spans="1:8" x14ac:dyDescent="0.3">
      <c r="A85" s="12" t="s">
        <v>28</v>
      </c>
      <c r="B85" s="2"/>
      <c r="C85" s="8">
        <v>16032.34</v>
      </c>
      <c r="D85" s="8">
        <v>16124.04</v>
      </c>
      <c r="E85" s="8">
        <v>25361.97</v>
      </c>
      <c r="F85" s="8">
        <v>20079.84</v>
      </c>
      <c r="G85" s="7">
        <v>17177.13</v>
      </c>
      <c r="H85" s="7">
        <v>13770.65</v>
      </c>
    </row>
    <row r="86" spans="1:8" x14ac:dyDescent="0.3">
      <c r="A86" s="12" t="s">
        <v>5</v>
      </c>
      <c r="B86" s="1"/>
      <c r="C86" s="8">
        <v>3404.36</v>
      </c>
      <c r="D86" s="8">
        <v>3315.63</v>
      </c>
      <c r="E86" s="8">
        <v>3422.41</v>
      </c>
      <c r="F86" s="8">
        <v>2881.12</v>
      </c>
      <c r="G86" s="6">
        <v>2563.3200000000002</v>
      </c>
      <c r="H86" s="6">
        <v>2769.98</v>
      </c>
    </row>
    <row r="87" spans="1:8" x14ac:dyDescent="0.3">
      <c r="A87" s="12" t="s">
        <v>6</v>
      </c>
      <c r="B87" s="1"/>
      <c r="C87" s="8">
        <v>2389.12</v>
      </c>
      <c r="D87" s="8">
        <v>2510.0300000000002</v>
      </c>
      <c r="E87" s="8">
        <v>2897.19</v>
      </c>
      <c r="F87" s="8">
        <v>2182.41</v>
      </c>
      <c r="G87" s="6">
        <v>2440.62</v>
      </c>
      <c r="H87" s="6">
        <v>1498.31</v>
      </c>
    </row>
    <row r="88" spans="1:8" x14ac:dyDescent="0.3">
      <c r="A88" s="12" t="s">
        <v>29</v>
      </c>
      <c r="B88" s="2"/>
      <c r="C88" s="9">
        <v>11266.32</v>
      </c>
      <c r="D88" s="9">
        <v>12997.19</v>
      </c>
      <c r="E88" s="9">
        <v>12005.52</v>
      </c>
      <c r="F88" s="9">
        <v>9192.24</v>
      </c>
      <c r="G88" s="7">
        <v>9117.57</v>
      </c>
      <c r="H88" s="7">
        <v>6648.68</v>
      </c>
    </row>
    <row r="89" spans="1:8" x14ac:dyDescent="0.3">
      <c r="A89" s="12" t="s">
        <v>7</v>
      </c>
      <c r="B89" s="1"/>
      <c r="C89" s="8">
        <v>7086.21</v>
      </c>
      <c r="D89" s="8">
        <v>7493.06</v>
      </c>
      <c r="E89" s="8">
        <v>7440.83</v>
      </c>
      <c r="F89" s="8">
        <v>5405.43</v>
      </c>
      <c r="G89" s="6">
        <v>6053.95</v>
      </c>
      <c r="H89" s="7">
        <v>4619.2700000000004</v>
      </c>
    </row>
    <row r="90" spans="1:8" x14ac:dyDescent="0.3">
      <c r="A90" s="12"/>
      <c r="B90" s="1"/>
      <c r="C90" s="6"/>
      <c r="D90" s="6"/>
      <c r="E90" s="6"/>
      <c r="F90" s="6"/>
      <c r="G90" s="6"/>
      <c r="H90" s="7"/>
    </row>
    <row r="91" spans="1:8" x14ac:dyDescent="0.3">
      <c r="A91" s="4" t="s">
        <v>93</v>
      </c>
      <c r="B91" s="1"/>
      <c r="C91" s="8"/>
      <c r="D91" s="8"/>
      <c r="E91" s="8"/>
      <c r="F91" s="8"/>
      <c r="G91" s="8"/>
      <c r="H91" s="8"/>
    </row>
    <row r="92" spans="1:8" x14ac:dyDescent="0.3">
      <c r="A92" s="12" t="s">
        <v>94</v>
      </c>
      <c r="B92" s="11" t="s">
        <v>95</v>
      </c>
      <c r="C92" s="8">
        <f>C85-C88</f>
        <v>4766.0200000000004</v>
      </c>
      <c r="D92" s="8">
        <f t="shared" ref="D92:G92" si="33">D85-D88</f>
        <v>3126.8500000000004</v>
      </c>
      <c r="E92" s="8">
        <f t="shared" si="33"/>
        <v>13356.45</v>
      </c>
      <c r="F92" s="8">
        <f t="shared" si="33"/>
        <v>10887.6</v>
      </c>
      <c r="G92" s="8">
        <f t="shared" si="33"/>
        <v>8059.5600000000013</v>
      </c>
      <c r="H92" s="8">
        <f>H85-H88</f>
        <v>7121.9699999999993</v>
      </c>
    </row>
    <row r="93" spans="1:8" x14ac:dyDescent="0.3">
      <c r="A93" s="12" t="s">
        <v>96</v>
      </c>
      <c r="B93" s="11" t="s">
        <v>103</v>
      </c>
      <c r="C93" s="8">
        <f>(C86+D86)/2</f>
        <v>3359.9949999999999</v>
      </c>
      <c r="D93" s="8">
        <f>(D86+E86)/2</f>
        <v>3369.02</v>
      </c>
      <c r="E93" s="8">
        <f>(E86+F86)/2</f>
        <v>3151.7649999999999</v>
      </c>
      <c r="F93" s="8">
        <f>(F86+G86)/2</f>
        <v>2722.2200000000003</v>
      </c>
      <c r="G93" s="8">
        <f>(G86+H86)/2</f>
        <v>2666.65</v>
      </c>
      <c r="H93" s="8"/>
    </row>
    <row r="94" spans="1:8" x14ac:dyDescent="0.3">
      <c r="A94" s="12" t="s">
        <v>97</v>
      </c>
      <c r="B94" s="11" t="s">
        <v>104</v>
      </c>
      <c r="C94" s="2">
        <f>(C87+D87)/2</f>
        <v>2449.5749999999998</v>
      </c>
      <c r="D94" s="2">
        <f t="shared" ref="D94:G94" si="34">(D87+E87)/2</f>
        <v>2703.61</v>
      </c>
      <c r="E94" s="2">
        <f t="shared" si="34"/>
        <v>2539.8000000000002</v>
      </c>
      <c r="F94" s="2">
        <f t="shared" si="34"/>
        <v>2311.5149999999999</v>
      </c>
      <c r="G94" s="2">
        <f t="shared" si="34"/>
        <v>1969.4649999999999</v>
      </c>
    </row>
    <row r="95" spans="1:8" x14ac:dyDescent="0.3">
      <c r="A95" s="12" t="s">
        <v>98</v>
      </c>
      <c r="B95" s="11" t="s">
        <v>102</v>
      </c>
      <c r="C95" s="8">
        <f>(C89+D89)/2</f>
        <v>7289.6350000000002</v>
      </c>
      <c r="D95" s="8">
        <f t="shared" ref="D95:G95" si="35">(D89+E89)/2</f>
        <v>7466.9449999999997</v>
      </c>
      <c r="E95" s="8">
        <f t="shared" si="35"/>
        <v>6423.13</v>
      </c>
      <c r="F95" s="8">
        <f t="shared" si="35"/>
        <v>5729.6900000000005</v>
      </c>
      <c r="G95" s="8">
        <f t="shared" si="35"/>
        <v>5336.6100000000006</v>
      </c>
      <c r="H95" s="8"/>
    </row>
    <row r="96" spans="1:8" x14ac:dyDescent="0.3">
      <c r="A96" s="12" t="s">
        <v>105</v>
      </c>
      <c r="B96" s="11" t="s">
        <v>99</v>
      </c>
      <c r="C96" s="8">
        <f>(C93/C84)*365</f>
        <v>24.542497567059211</v>
      </c>
      <c r="D96" s="8">
        <f t="shared" ref="D96:F96" si="36">(D93/D84)*365</f>
        <v>23.834502582232652</v>
      </c>
      <c r="E96" s="8">
        <f t="shared" si="36"/>
        <v>25.547318628450316</v>
      </c>
      <c r="F96" s="8">
        <f t="shared" si="36"/>
        <v>27.73503214226897</v>
      </c>
      <c r="G96" s="8">
        <f>(G93/G84)*365</f>
        <v>31.067148870132865</v>
      </c>
      <c r="H96" s="8"/>
    </row>
    <row r="97" spans="1:8" x14ac:dyDescent="0.3">
      <c r="A97" s="12" t="s">
        <v>106</v>
      </c>
      <c r="B97" s="11" t="s">
        <v>100</v>
      </c>
      <c r="C97" s="8">
        <f>(C94/C83)*365</f>
        <v>12.92177382676168</v>
      </c>
      <c r="D97" s="8">
        <f>(D94/D83)*365</f>
        <v>14.131905112284199</v>
      </c>
      <c r="E97" s="8">
        <f>(E94/E83)*365</f>
        <v>15.3716497992458</v>
      </c>
      <c r="F97" s="8">
        <f>(F94/F83)*365</f>
        <v>17.807744473592727</v>
      </c>
      <c r="G97" s="8">
        <f>(G94/G83)*365</f>
        <v>17.673564150670167</v>
      </c>
      <c r="H97" s="8"/>
    </row>
    <row r="98" spans="1:8" x14ac:dyDescent="0.3">
      <c r="A98" s="12" t="s">
        <v>107</v>
      </c>
      <c r="B98" s="11" t="s">
        <v>101</v>
      </c>
      <c r="C98" s="8">
        <f>(C95/C84)*365</f>
        <v>53.245867702853637</v>
      </c>
      <c r="D98" s="8">
        <f>(D95/D84)*365</f>
        <v>52.825723766522358</v>
      </c>
      <c r="E98" s="8">
        <f t="shared" ref="E98:G98" si="37">(E95/E84)*365</f>
        <v>52.064081142457674</v>
      </c>
      <c r="F98" s="8">
        <f t="shared" si="37"/>
        <v>58.376301810741637</v>
      </c>
      <c r="G98" s="8">
        <f t="shared" si="37"/>
        <v>62.172860079815415</v>
      </c>
      <c r="H98" s="8"/>
    </row>
    <row r="99" spans="1:8" x14ac:dyDescent="0.3">
      <c r="A99" s="12" t="s">
        <v>109</v>
      </c>
      <c r="B99" s="11" t="s">
        <v>108</v>
      </c>
      <c r="C99" s="8">
        <f>C96+C97-C98</f>
        <v>-15.781596309032743</v>
      </c>
      <c r="D99" s="8">
        <f t="shared" ref="D99" si="38">D96+D97-D98</f>
        <v>-14.859316072005505</v>
      </c>
      <c r="E99" s="8">
        <f t="shared" ref="E99" si="39">E96+E97-E98</f>
        <v>-11.145112714761559</v>
      </c>
      <c r="F99" s="8">
        <f t="shared" ref="F99" si="40">F96+F97-F98</f>
        <v>-12.83352519487994</v>
      </c>
      <c r="G99" s="8">
        <f t="shared" ref="G99" si="41">G96+G97-G98</f>
        <v>-13.432147059012387</v>
      </c>
      <c r="H99" s="8"/>
    </row>
    <row r="100" spans="1:8" x14ac:dyDescent="0.3">
      <c r="A100" s="12"/>
      <c r="B100" s="1"/>
      <c r="C100" s="6"/>
      <c r="D100" s="6"/>
      <c r="E100" s="6"/>
      <c r="F100" s="6"/>
      <c r="G100" s="6"/>
      <c r="H100" s="7"/>
    </row>
    <row r="101" spans="1:8" x14ac:dyDescent="0.3">
      <c r="A101" s="26" t="s">
        <v>36</v>
      </c>
      <c r="B101" s="26"/>
      <c r="C101" s="26"/>
      <c r="D101" s="26"/>
      <c r="E101" s="26"/>
      <c r="F101" s="26"/>
      <c r="G101" s="26"/>
      <c r="H101" s="26"/>
    </row>
    <row r="102" spans="1:8" x14ac:dyDescent="0.3">
      <c r="A102" s="11" t="s">
        <v>10</v>
      </c>
      <c r="B102" s="1"/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12</v>
      </c>
    </row>
    <row r="103" spans="1:8" x14ac:dyDescent="0.3">
      <c r="A103" s="12" t="s">
        <v>8</v>
      </c>
      <c r="B103" s="3"/>
      <c r="C103" s="8">
        <v>4919.92</v>
      </c>
      <c r="D103" s="8">
        <v>4570.13</v>
      </c>
      <c r="E103" s="8">
        <v>4304.92</v>
      </c>
      <c r="F103" s="8">
        <v>3665.89</v>
      </c>
      <c r="G103" s="8">
        <v>2670.73</v>
      </c>
      <c r="H103" s="8">
        <v>2841.58</v>
      </c>
    </row>
    <row r="104" spans="1:8" x14ac:dyDescent="0.3">
      <c r="A104" s="12" t="s">
        <v>11</v>
      </c>
      <c r="B104" s="3"/>
      <c r="C104" s="8">
        <v>3016.54</v>
      </c>
      <c r="D104" s="8">
        <v>2778.29</v>
      </c>
      <c r="E104" s="8">
        <v>2565.8200000000002</v>
      </c>
      <c r="F104" s="8">
        <v>2245.19</v>
      </c>
      <c r="G104" s="8">
        <v>1561.2399999999998</v>
      </c>
      <c r="H104" s="9">
        <f>602.8+1203.22-15</f>
        <v>1791.02</v>
      </c>
    </row>
    <row r="105" spans="1:8" x14ac:dyDescent="0.3">
      <c r="A105" s="13" t="s">
        <v>28</v>
      </c>
      <c r="B105" s="3"/>
      <c r="C105" s="7">
        <v>2568.5</v>
      </c>
      <c r="D105" s="7">
        <v>2741.21</v>
      </c>
      <c r="E105" s="7">
        <v>2448.56</v>
      </c>
      <c r="F105" s="7">
        <v>1958.37</v>
      </c>
      <c r="G105" s="8">
        <v>1631.47</v>
      </c>
      <c r="H105" s="9">
        <v>1840.12</v>
      </c>
    </row>
    <row r="106" spans="1:8" x14ac:dyDescent="0.3">
      <c r="A106" s="12" t="s">
        <v>5</v>
      </c>
      <c r="B106" s="1"/>
      <c r="C106" s="9">
        <v>873.33</v>
      </c>
      <c r="D106" s="9">
        <v>683.88</v>
      </c>
      <c r="E106" s="9">
        <v>686.03</v>
      </c>
      <c r="F106" s="9">
        <v>676.82</v>
      </c>
      <c r="G106" s="8">
        <v>468</v>
      </c>
      <c r="H106" s="8">
        <v>451.78</v>
      </c>
    </row>
    <row r="107" spans="1:8" x14ac:dyDescent="0.3">
      <c r="A107" s="12" t="s">
        <v>6</v>
      </c>
      <c r="B107" s="1"/>
      <c r="C107" s="9">
        <v>848.55</v>
      </c>
      <c r="D107" s="9">
        <v>751.33</v>
      </c>
      <c r="E107" s="9">
        <v>678.65</v>
      </c>
      <c r="F107" s="9">
        <v>687.13</v>
      </c>
      <c r="G107" s="8">
        <v>583.44000000000005</v>
      </c>
      <c r="H107" s="8">
        <v>435.7</v>
      </c>
    </row>
    <row r="108" spans="1:8" x14ac:dyDescent="0.3">
      <c r="A108" s="13" t="s">
        <v>29</v>
      </c>
      <c r="B108" s="2"/>
      <c r="C108" s="9">
        <v>910.31</v>
      </c>
      <c r="D108" s="9">
        <v>927.96</v>
      </c>
      <c r="E108" s="9">
        <v>796.11</v>
      </c>
      <c r="F108" s="9">
        <v>695.19</v>
      </c>
      <c r="G108" s="9">
        <v>693.11</v>
      </c>
      <c r="H108" s="9">
        <v>516.5</v>
      </c>
    </row>
    <row r="109" spans="1:8" x14ac:dyDescent="0.3">
      <c r="A109" s="12" t="s">
        <v>7</v>
      </c>
      <c r="B109" s="1"/>
      <c r="C109" s="9">
        <v>663.01</v>
      </c>
      <c r="D109" s="9">
        <v>713.14</v>
      </c>
      <c r="E109" s="9">
        <v>607.91</v>
      </c>
      <c r="F109" s="9">
        <v>524.41</v>
      </c>
      <c r="G109" s="8">
        <v>576.89</v>
      </c>
      <c r="H109" s="8">
        <v>412.01</v>
      </c>
    </row>
    <row r="110" spans="1:8" x14ac:dyDescent="0.3">
      <c r="A110" s="12"/>
      <c r="B110" s="1"/>
      <c r="C110" s="8"/>
      <c r="D110" s="8"/>
      <c r="E110" s="8"/>
      <c r="F110" s="8"/>
      <c r="G110" s="8"/>
      <c r="H110" s="8"/>
    </row>
    <row r="111" spans="1:8" x14ac:dyDescent="0.3">
      <c r="A111" s="4" t="s">
        <v>93</v>
      </c>
      <c r="B111" s="1"/>
      <c r="C111" s="8"/>
      <c r="D111" s="8"/>
      <c r="E111" s="8"/>
      <c r="F111" s="8"/>
      <c r="G111" s="8"/>
      <c r="H111" s="8"/>
    </row>
    <row r="112" spans="1:8" x14ac:dyDescent="0.3">
      <c r="A112" s="12" t="s">
        <v>94</v>
      </c>
      <c r="B112" s="11" t="s">
        <v>95</v>
      </c>
      <c r="C112" s="8">
        <f>C105-C108</f>
        <v>1658.19</v>
      </c>
      <c r="D112" s="8">
        <f t="shared" ref="D112:G112" si="42">D105-D108</f>
        <v>1813.25</v>
      </c>
      <c r="E112" s="8">
        <f t="shared" si="42"/>
        <v>1652.4499999999998</v>
      </c>
      <c r="F112" s="8">
        <f t="shared" si="42"/>
        <v>1263.1799999999998</v>
      </c>
      <c r="G112" s="8">
        <f t="shared" si="42"/>
        <v>938.36</v>
      </c>
      <c r="H112" s="8">
        <f>H105-H108</f>
        <v>1323.62</v>
      </c>
    </row>
    <row r="113" spans="1:8" x14ac:dyDescent="0.3">
      <c r="A113" s="12" t="s">
        <v>96</v>
      </c>
      <c r="B113" s="11" t="s">
        <v>103</v>
      </c>
      <c r="C113" s="8">
        <f>(C106+D106)/2</f>
        <v>778.60500000000002</v>
      </c>
      <c r="D113" s="8">
        <f>(D106+E106)/2</f>
        <v>684.95499999999993</v>
      </c>
      <c r="E113" s="8">
        <f>(E106+F106)/2</f>
        <v>681.42499999999995</v>
      </c>
      <c r="F113" s="8">
        <f>(F106+G106)/2</f>
        <v>572.41000000000008</v>
      </c>
      <c r="G113" s="8">
        <f>(G106+H106)/2</f>
        <v>459.89</v>
      </c>
      <c r="H113" s="8"/>
    </row>
    <row r="114" spans="1:8" x14ac:dyDescent="0.3">
      <c r="A114" s="12" t="s">
        <v>97</v>
      </c>
      <c r="B114" s="11" t="s">
        <v>104</v>
      </c>
      <c r="C114" s="2">
        <f>(C107+D107)/2</f>
        <v>799.94</v>
      </c>
      <c r="D114" s="2">
        <f t="shared" ref="D114:G114" si="43">(D107+E107)/2</f>
        <v>714.99</v>
      </c>
      <c r="E114" s="2">
        <f t="shared" si="43"/>
        <v>682.89</v>
      </c>
      <c r="F114" s="2">
        <f t="shared" si="43"/>
        <v>635.28500000000008</v>
      </c>
      <c r="G114" s="2">
        <f t="shared" si="43"/>
        <v>509.57000000000005</v>
      </c>
    </row>
    <row r="115" spans="1:8" x14ac:dyDescent="0.3">
      <c r="A115" s="12" t="s">
        <v>98</v>
      </c>
      <c r="B115" s="11" t="s">
        <v>102</v>
      </c>
      <c r="C115" s="8">
        <f>(C109+D109)/2</f>
        <v>688.07500000000005</v>
      </c>
      <c r="D115" s="8">
        <f t="shared" ref="D115:G115" si="44">(D109+E109)/2</f>
        <v>660.52499999999998</v>
      </c>
      <c r="E115" s="8">
        <f t="shared" si="44"/>
        <v>566.16</v>
      </c>
      <c r="F115" s="8">
        <f t="shared" si="44"/>
        <v>550.65</v>
      </c>
      <c r="G115" s="8">
        <f t="shared" si="44"/>
        <v>494.45</v>
      </c>
      <c r="H115" s="8"/>
    </row>
    <row r="116" spans="1:8" x14ac:dyDescent="0.3">
      <c r="A116" s="12" t="s">
        <v>105</v>
      </c>
      <c r="B116" s="11" t="s">
        <v>99</v>
      </c>
      <c r="C116" s="8">
        <f>(C113/C104)*365</f>
        <v>94.210859129996635</v>
      </c>
      <c r="D116" s="8">
        <f t="shared" ref="D116:F116" si="45">(D113/D104)*365</f>
        <v>89.986493490600324</v>
      </c>
      <c r="E116" s="8">
        <f t="shared" si="45"/>
        <v>96.935921070067252</v>
      </c>
      <c r="F116" s="8">
        <f t="shared" si="45"/>
        <v>93.056556460700435</v>
      </c>
      <c r="G116" s="8">
        <f>(G113/G104)*365</f>
        <v>107.5170057134073</v>
      </c>
      <c r="H116" s="8"/>
    </row>
    <row r="117" spans="1:8" x14ac:dyDescent="0.3">
      <c r="A117" s="12" t="s">
        <v>106</v>
      </c>
      <c r="B117" s="11" t="s">
        <v>100</v>
      </c>
      <c r="C117" s="8">
        <f>(C114/C103)*365</f>
        <v>59.346107253776488</v>
      </c>
      <c r="D117" s="8">
        <f>(D114/D103)*365</f>
        <v>57.103703833370169</v>
      </c>
      <c r="E117" s="8">
        <f>(E114/E103)*365</f>
        <v>57.899995818737636</v>
      </c>
      <c r="F117" s="8">
        <f>(F114/F103)*365</f>
        <v>63.253132254377526</v>
      </c>
      <c r="G117" s="8">
        <f>(G114/G103)*365</f>
        <v>69.641277852871696</v>
      </c>
      <c r="H117" s="8"/>
    </row>
    <row r="118" spans="1:8" x14ac:dyDescent="0.3">
      <c r="A118" s="12" t="s">
        <v>107</v>
      </c>
      <c r="B118" s="11" t="s">
        <v>101</v>
      </c>
      <c r="C118" s="8">
        <f>(C115/C104)*365</f>
        <v>83.256769345011179</v>
      </c>
      <c r="D118" s="8">
        <f>(D115/D104)*365</f>
        <v>86.776983324274994</v>
      </c>
      <c r="E118" s="8">
        <f t="shared" ref="E118:G118" si="46">(E115/E104)*365</f>
        <v>80.538931024000121</v>
      </c>
      <c r="F118" s="8">
        <f t="shared" si="46"/>
        <v>89.519038477812558</v>
      </c>
      <c r="G118" s="8">
        <f t="shared" si="46"/>
        <v>115.59673720888527</v>
      </c>
      <c r="H118" s="8"/>
    </row>
    <row r="119" spans="1:8" x14ac:dyDescent="0.3">
      <c r="A119" s="12" t="s">
        <v>109</v>
      </c>
      <c r="B119" s="11" t="s">
        <v>108</v>
      </c>
      <c r="C119" s="8">
        <f>C116+C117-C118</f>
        <v>70.300197038761951</v>
      </c>
      <c r="D119" s="8">
        <f t="shared" ref="D119" si="47">D116+D117-D118</f>
        <v>60.313213999695506</v>
      </c>
      <c r="E119" s="8">
        <f t="shared" ref="E119" si="48">E116+E117-E118</f>
        <v>74.296985864804768</v>
      </c>
      <c r="F119" s="8">
        <f t="shared" ref="F119" si="49">F116+F117-F118</f>
        <v>66.790650237265396</v>
      </c>
      <c r="G119" s="8">
        <f t="shared" ref="G119" si="50">G116+G117-G118</f>
        <v>61.561546357393738</v>
      </c>
      <c r="H119" s="8"/>
    </row>
    <row r="120" spans="1:8" x14ac:dyDescent="0.3">
      <c r="A120" s="12"/>
      <c r="B120" s="1"/>
      <c r="C120" s="8"/>
      <c r="D120" s="8"/>
      <c r="E120" s="8"/>
      <c r="F120" s="8"/>
      <c r="G120" s="8"/>
      <c r="H120" s="8"/>
    </row>
    <row r="121" spans="1:8" x14ac:dyDescent="0.3">
      <c r="A121" s="26" t="s">
        <v>37</v>
      </c>
      <c r="B121" s="26"/>
      <c r="C121" s="26"/>
      <c r="D121" s="26"/>
      <c r="E121" s="26"/>
      <c r="F121" s="26"/>
      <c r="G121" s="26"/>
      <c r="H121" s="26"/>
    </row>
    <row r="122" spans="1:8" x14ac:dyDescent="0.3">
      <c r="A122" s="11" t="s">
        <v>10</v>
      </c>
      <c r="B122" s="1"/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12</v>
      </c>
    </row>
    <row r="123" spans="1:8" x14ac:dyDescent="0.3">
      <c r="A123" s="12" t="s">
        <v>8</v>
      </c>
      <c r="B123" s="3"/>
      <c r="C123" s="5">
        <v>5056.2</v>
      </c>
      <c r="D123" s="5">
        <v>4651.1000000000004</v>
      </c>
      <c r="E123" s="5">
        <v>4300.1000000000004</v>
      </c>
      <c r="F123" s="5">
        <v>2975.9</v>
      </c>
      <c r="G123" s="5">
        <v>2367.9</v>
      </c>
      <c r="H123" s="5">
        <v>2813.1</v>
      </c>
    </row>
    <row r="124" spans="1:8" ht="14.4" customHeight="1" x14ac:dyDescent="0.3">
      <c r="A124" s="12" t="s">
        <v>11</v>
      </c>
      <c r="B124" s="3"/>
      <c r="C124" s="6">
        <v>3146.5</v>
      </c>
      <c r="D124" s="6">
        <v>2923.7999999999997</v>
      </c>
      <c r="E124" s="6">
        <v>2777.3</v>
      </c>
      <c r="F124" s="6">
        <v>1875.8999999999999</v>
      </c>
      <c r="G124" s="6">
        <v>1492.5</v>
      </c>
      <c r="H124" s="6">
        <f>1537.7+75.3+86.1</f>
        <v>1699.1</v>
      </c>
    </row>
    <row r="125" spans="1:8" x14ac:dyDescent="0.3">
      <c r="A125" s="12" t="s">
        <v>28</v>
      </c>
      <c r="B125" s="4"/>
      <c r="C125" s="6">
        <v>1249.9000000000001</v>
      </c>
      <c r="D125" s="6">
        <v>1607.4</v>
      </c>
      <c r="E125" s="6">
        <v>1214</v>
      </c>
      <c r="F125" s="6">
        <v>1197</v>
      </c>
      <c r="G125" s="6">
        <v>1409.7</v>
      </c>
      <c r="H125" s="6">
        <v>1111.9000000000001</v>
      </c>
    </row>
    <row r="126" spans="1:8" x14ac:dyDescent="0.3">
      <c r="A126" s="12" t="s">
        <v>5</v>
      </c>
      <c r="B126" s="1"/>
      <c r="C126" s="6">
        <v>447.5</v>
      </c>
      <c r="D126" s="6">
        <v>415.7</v>
      </c>
      <c r="E126" s="6">
        <v>457.1</v>
      </c>
      <c r="F126" s="6">
        <v>392.7</v>
      </c>
      <c r="G126" s="6">
        <v>375.1</v>
      </c>
      <c r="H126" s="6">
        <v>322.60000000000002</v>
      </c>
    </row>
    <row r="127" spans="1:8" x14ac:dyDescent="0.3">
      <c r="A127" s="12" t="s">
        <v>6</v>
      </c>
      <c r="B127" s="1"/>
      <c r="C127" s="6">
        <v>629.29999999999995</v>
      </c>
      <c r="D127" s="6">
        <v>613</v>
      </c>
      <c r="E127" s="6">
        <v>477.9</v>
      </c>
      <c r="F127" s="6">
        <v>450.6</v>
      </c>
      <c r="G127" s="6">
        <v>427.5</v>
      </c>
      <c r="H127" s="6">
        <v>327</v>
      </c>
    </row>
    <row r="128" spans="1:8" x14ac:dyDescent="0.3">
      <c r="A128" s="12" t="s">
        <v>29</v>
      </c>
      <c r="B128" s="4"/>
      <c r="C128" s="6">
        <v>1822.5</v>
      </c>
      <c r="D128" s="6">
        <v>945.7</v>
      </c>
      <c r="E128" s="6">
        <v>1133.0999999999999</v>
      </c>
      <c r="F128" s="6">
        <v>871.5</v>
      </c>
      <c r="G128" s="6">
        <v>1023.1</v>
      </c>
      <c r="H128" s="6">
        <v>816.7</v>
      </c>
    </row>
    <row r="129" spans="1:8" x14ac:dyDescent="0.3">
      <c r="A129" s="12" t="s">
        <v>7</v>
      </c>
      <c r="B129" s="1"/>
      <c r="C129" s="6">
        <v>647</v>
      </c>
      <c r="D129" s="6">
        <v>551.6</v>
      </c>
      <c r="E129" s="6">
        <v>566.6</v>
      </c>
      <c r="F129" s="6">
        <v>440.4</v>
      </c>
      <c r="G129" s="6">
        <v>492.8</v>
      </c>
      <c r="H129" s="6">
        <v>421.9</v>
      </c>
    </row>
    <row r="130" spans="1:8" x14ac:dyDescent="0.3">
      <c r="A130" s="12"/>
      <c r="B130" s="1"/>
      <c r="C130" s="6"/>
      <c r="D130" s="6"/>
      <c r="E130" s="6"/>
      <c r="F130" s="6"/>
      <c r="G130" s="6"/>
      <c r="H130" s="6"/>
    </row>
    <row r="131" spans="1:8" x14ac:dyDescent="0.3">
      <c r="A131" s="4" t="s">
        <v>93</v>
      </c>
      <c r="B131" s="1"/>
      <c r="C131" s="8"/>
      <c r="D131" s="8"/>
      <c r="E131" s="8"/>
      <c r="F131" s="8"/>
      <c r="G131" s="8"/>
      <c r="H131" s="8"/>
    </row>
    <row r="132" spans="1:8" x14ac:dyDescent="0.3">
      <c r="A132" s="12" t="s">
        <v>94</v>
      </c>
      <c r="B132" s="11" t="s">
        <v>95</v>
      </c>
      <c r="C132" s="8">
        <f>C125-C128</f>
        <v>-572.59999999999991</v>
      </c>
      <c r="D132" s="8">
        <f t="shared" ref="D132:G132" si="51">D125-D128</f>
        <v>661.7</v>
      </c>
      <c r="E132" s="8">
        <f t="shared" si="51"/>
        <v>80.900000000000091</v>
      </c>
      <c r="F132" s="8">
        <f t="shared" si="51"/>
        <v>325.5</v>
      </c>
      <c r="G132" s="8">
        <f t="shared" si="51"/>
        <v>386.6</v>
      </c>
      <c r="H132" s="8">
        <f>H125-H128</f>
        <v>295.20000000000005</v>
      </c>
    </row>
    <row r="133" spans="1:8" x14ac:dyDescent="0.3">
      <c r="A133" s="12" t="s">
        <v>96</v>
      </c>
      <c r="B133" s="11" t="s">
        <v>103</v>
      </c>
      <c r="C133" s="8">
        <f>(C126+D126)/2</f>
        <v>431.6</v>
      </c>
      <c r="D133" s="8">
        <f>(D126+E126)/2</f>
        <v>436.4</v>
      </c>
      <c r="E133" s="8">
        <f>(E126+F126)/2</f>
        <v>424.9</v>
      </c>
      <c r="F133" s="8">
        <f>(F126+G126)/2</f>
        <v>383.9</v>
      </c>
      <c r="G133" s="8">
        <f>(G126+H126)/2</f>
        <v>348.85</v>
      </c>
      <c r="H133" s="8"/>
    </row>
    <row r="134" spans="1:8" x14ac:dyDescent="0.3">
      <c r="A134" s="12" t="s">
        <v>97</v>
      </c>
      <c r="B134" s="11" t="s">
        <v>104</v>
      </c>
      <c r="C134" s="2">
        <f>(C127+D127)/2</f>
        <v>621.15</v>
      </c>
      <c r="D134" s="2">
        <f t="shared" ref="D134:G134" si="52">(D127+E127)/2</f>
        <v>545.45000000000005</v>
      </c>
      <c r="E134" s="2">
        <f t="shared" si="52"/>
        <v>464.25</v>
      </c>
      <c r="F134" s="2">
        <f t="shared" si="52"/>
        <v>439.05</v>
      </c>
      <c r="G134" s="2">
        <f t="shared" si="52"/>
        <v>377.25</v>
      </c>
    </row>
    <row r="135" spans="1:8" x14ac:dyDescent="0.3">
      <c r="A135" s="12" t="s">
        <v>98</v>
      </c>
      <c r="B135" s="11" t="s">
        <v>102</v>
      </c>
      <c r="C135" s="8">
        <f>(C129+D129)/2</f>
        <v>599.29999999999995</v>
      </c>
      <c r="D135" s="8">
        <f t="shared" ref="D135:G135" si="53">(D129+E129)/2</f>
        <v>559.1</v>
      </c>
      <c r="E135" s="8">
        <f t="shared" si="53"/>
        <v>503.5</v>
      </c>
      <c r="F135" s="8">
        <f t="shared" si="53"/>
        <v>466.6</v>
      </c>
      <c r="G135" s="8">
        <f t="shared" si="53"/>
        <v>457.35</v>
      </c>
      <c r="H135" s="8"/>
    </row>
    <row r="136" spans="1:8" x14ac:dyDescent="0.3">
      <c r="A136" s="12" t="s">
        <v>105</v>
      </c>
      <c r="B136" s="11" t="s">
        <v>99</v>
      </c>
      <c r="C136" s="8">
        <f>(C133/C124)*365</f>
        <v>50.066423009693317</v>
      </c>
      <c r="D136" s="8">
        <f t="shared" ref="D136:F136" si="54">(D133/D124)*365</f>
        <v>54.479102537793288</v>
      </c>
      <c r="E136" s="8">
        <f t="shared" si="54"/>
        <v>55.841464731933883</v>
      </c>
      <c r="F136" s="8">
        <f t="shared" si="54"/>
        <v>74.696678927448161</v>
      </c>
      <c r="G136" s="8">
        <f>(G133/G124)*365</f>
        <v>85.313400335008382</v>
      </c>
      <c r="H136" s="8"/>
    </row>
    <row r="137" spans="1:8" x14ac:dyDescent="0.3">
      <c r="A137" s="12" t="s">
        <v>106</v>
      </c>
      <c r="B137" s="11" t="s">
        <v>100</v>
      </c>
      <c r="C137" s="8">
        <f>(C134/C123)*365</f>
        <v>44.839948973537439</v>
      </c>
      <c r="D137" s="8">
        <f>(D134/D123)*365</f>
        <v>42.804766614349298</v>
      </c>
      <c r="E137" s="8">
        <f>(E134/E123)*365</f>
        <v>39.406351015092667</v>
      </c>
      <c r="F137" s="8">
        <f>(F134/F123)*365</f>
        <v>53.850347793944685</v>
      </c>
      <c r="G137" s="8">
        <f>(G134/G123)*365</f>
        <v>58.151209932851899</v>
      </c>
      <c r="H137" s="8"/>
    </row>
    <row r="138" spans="1:8" x14ac:dyDescent="0.3">
      <c r="A138" s="12" t="s">
        <v>107</v>
      </c>
      <c r="B138" s="11" t="s">
        <v>101</v>
      </c>
      <c r="C138" s="8">
        <f>(C135/C124)*365</f>
        <v>69.519942793580157</v>
      </c>
      <c r="D138" s="8">
        <f>(D135/D124)*365</f>
        <v>69.796668718790627</v>
      </c>
      <c r="E138" s="8">
        <f t="shared" ref="E138:G138" si="55">(E135/E124)*365</f>
        <v>66.17128146041118</v>
      </c>
      <c r="F138" s="8">
        <f t="shared" si="55"/>
        <v>90.787888480196187</v>
      </c>
      <c r="G138" s="8">
        <f t="shared" si="55"/>
        <v>111.84773869346735</v>
      </c>
      <c r="H138" s="8"/>
    </row>
    <row r="139" spans="1:8" x14ac:dyDescent="0.3">
      <c r="A139" s="12" t="s">
        <v>109</v>
      </c>
      <c r="B139" s="11" t="s">
        <v>108</v>
      </c>
      <c r="C139" s="8">
        <f>C136+C137-C138</f>
        <v>25.386429189650599</v>
      </c>
      <c r="D139" s="8">
        <f t="shared" ref="D139" si="56">D136+D137-D138</f>
        <v>27.487200433351958</v>
      </c>
      <c r="E139" s="8">
        <f t="shared" ref="E139" si="57">E136+E137-E138</f>
        <v>29.07653428661537</v>
      </c>
      <c r="F139" s="8">
        <f t="shared" ref="F139" si="58">F136+F137-F138</f>
        <v>37.759138241196666</v>
      </c>
      <c r="G139" s="8">
        <f t="shared" ref="G139" si="59">G136+G137-G138</f>
        <v>31.616871574392931</v>
      </c>
      <c r="H139" s="8"/>
    </row>
    <row r="140" spans="1:8" x14ac:dyDescent="0.3">
      <c r="A140" s="12"/>
      <c r="B140" s="1"/>
      <c r="C140" s="6"/>
      <c r="D140" s="6"/>
      <c r="E140" s="6"/>
      <c r="F140" s="6"/>
      <c r="G140" s="6"/>
      <c r="H140" s="6"/>
    </row>
    <row r="141" spans="1:8" x14ac:dyDescent="0.3">
      <c r="A141" s="26" t="s">
        <v>74</v>
      </c>
      <c r="B141" s="26"/>
      <c r="C141" s="26"/>
      <c r="D141" s="26"/>
      <c r="E141" s="26"/>
      <c r="F141" s="26"/>
      <c r="G141" s="26"/>
      <c r="H141" s="26"/>
    </row>
    <row r="142" spans="1:8" x14ac:dyDescent="0.3">
      <c r="A142" s="11" t="s">
        <v>10</v>
      </c>
      <c r="B142" s="1"/>
      <c r="C142" s="1" t="s">
        <v>0</v>
      </c>
      <c r="D142" s="1" t="s">
        <v>1</v>
      </c>
      <c r="E142" s="1" t="s">
        <v>2</v>
      </c>
      <c r="F142" s="1" t="s">
        <v>3</v>
      </c>
      <c r="G142" s="1" t="s">
        <v>4</v>
      </c>
      <c r="H142" s="1" t="s">
        <v>12</v>
      </c>
    </row>
    <row r="143" spans="1:8" x14ac:dyDescent="0.3">
      <c r="A143" s="12" t="s">
        <v>8</v>
      </c>
      <c r="B143" s="3"/>
      <c r="C143" s="6">
        <v>2236.7600000000002</v>
      </c>
      <c r="D143" s="6">
        <v>3056.67</v>
      </c>
      <c r="E143" s="6">
        <v>2480.83</v>
      </c>
      <c r="F143" s="6">
        <v>1570.66</v>
      </c>
      <c r="G143" s="6"/>
      <c r="H143" s="7"/>
    </row>
    <row r="144" spans="1:8" x14ac:dyDescent="0.3">
      <c r="A144" s="12" t="s">
        <v>11</v>
      </c>
      <c r="B144" s="3"/>
      <c r="C144" s="7">
        <v>1455.9199999999998</v>
      </c>
      <c r="D144" s="7">
        <v>2266.77</v>
      </c>
      <c r="E144" s="7">
        <v>1874.95</v>
      </c>
      <c r="F144" s="7">
        <v>1162.98</v>
      </c>
      <c r="G144" s="6"/>
      <c r="H144" s="7"/>
    </row>
    <row r="145" spans="1:8" x14ac:dyDescent="0.3">
      <c r="A145" s="12" t="s">
        <v>28</v>
      </c>
      <c r="B145" s="3"/>
      <c r="C145" s="7">
        <v>624.9</v>
      </c>
      <c r="D145" s="7">
        <v>574.66</v>
      </c>
      <c r="E145" s="7">
        <v>804.45</v>
      </c>
      <c r="F145" s="7">
        <v>683.53</v>
      </c>
      <c r="G145" s="6"/>
      <c r="H145" s="7"/>
    </row>
    <row r="146" spans="1:8" x14ac:dyDescent="0.3">
      <c r="A146" s="12" t="s">
        <v>5</v>
      </c>
      <c r="B146" s="1"/>
      <c r="C146" s="6">
        <v>94.3</v>
      </c>
      <c r="D146" s="6">
        <v>164.47</v>
      </c>
      <c r="E146" s="6">
        <v>205.38</v>
      </c>
      <c r="F146" s="6">
        <v>159.69999999999999</v>
      </c>
      <c r="G146" s="6"/>
      <c r="H146" s="7"/>
    </row>
    <row r="147" spans="1:8" x14ac:dyDescent="0.3">
      <c r="A147" s="12" t="s">
        <v>6</v>
      </c>
      <c r="B147" s="1"/>
      <c r="C147" s="6">
        <v>263.14</v>
      </c>
      <c r="D147" s="6">
        <v>260.66000000000003</v>
      </c>
      <c r="E147" s="6">
        <v>298.73</v>
      </c>
      <c r="F147" s="6">
        <v>232.86</v>
      </c>
      <c r="G147" s="6"/>
      <c r="H147" s="7"/>
    </row>
    <row r="148" spans="1:8" x14ac:dyDescent="0.3">
      <c r="A148" s="12" t="s">
        <v>29</v>
      </c>
      <c r="B148" s="3"/>
      <c r="C148" s="7">
        <v>485.81</v>
      </c>
      <c r="D148" s="7">
        <v>528.48</v>
      </c>
      <c r="E148" s="7">
        <v>676.54</v>
      </c>
      <c r="F148" s="7">
        <v>592.70000000000005</v>
      </c>
      <c r="G148" s="6"/>
      <c r="H148" s="7"/>
    </row>
    <row r="149" spans="1:8" x14ac:dyDescent="0.3">
      <c r="A149" s="12" t="s">
        <v>7</v>
      </c>
      <c r="B149" s="1"/>
      <c r="C149" s="6">
        <v>381.31</v>
      </c>
      <c r="D149" s="6">
        <v>428.38</v>
      </c>
      <c r="E149" s="6">
        <v>523.78</v>
      </c>
      <c r="F149" s="6">
        <v>430.53</v>
      </c>
      <c r="G149" s="6"/>
      <c r="H149" s="7"/>
    </row>
    <row r="150" spans="1:8" x14ac:dyDescent="0.3">
      <c r="A150" s="12"/>
      <c r="B150" s="1"/>
      <c r="C150" s="6"/>
      <c r="D150" s="6"/>
      <c r="E150" s="6"/>
      <c r="F150" s="6"/>
      <c r="G150" s="6"/>
      <c r="H150" s="7"/>
    </row>
    <row r="151" spans="1:8" x14ac:dyDescent="0.3">
      <c r="A151" s="4" t="s">
        <v>93</v>
      </c>
      <c r="B151" s="1"/>
      <c r="C151" s="8"/>
      <c r="D151" s="8"/>
      <c r="E151" s="8"/>
      <c r="F151" s="8"/>
      <c r="G151" s="8"/>
      <c r="H151" s="8"/>
    </row>
    <row r="152" spans="1:8" x14ac:dyDescent="0.3">
      <c r="A152" s="12" t="s">
        <v>94</v>
      </c>
      <c r="B152" s="11" t="s">
        <v>95</v>
      </c>
      <c r="C152" s="8">
        <f>C145-C148</f>
        <v>139.08999999999997</v>
      </c>
      <c r="D152" s="8">
        <f t="shared" ref="D152:F152" si="60">D145-D148</f>
        <v>46.17999999999995</v>
      </c>
      <c r="E152" s="8">
        <f t="shared" si="60"/>
        <v>127.91000000000008</v>
      </c>
      <c r="F152" s="8">
        <f t="shared" si="60"/>
        <v>90.829999999999927</v>
      </c>
      <c r="G152" s="8"/>
      <c r="H152" s="8"/>
    </row>
    <row r="153" spans="1:8" x14ac:dyDescent="0.3">
      <c r="A153" s="12" t="s">
        <v>96</v>
      </c>
      <c r="B153" s="11" t="s">
        <v>103</v>
      </c>
      <c r="C153" s="8">
        <f>(C146+D146)/2</f>
        <v>129.38499999999999</v>
      </c>
      <c r="D153" s="8">
        <f>(D146+E146)/2</f>
        <v>184.92500000000001</v>
      </c>
      <c r="E153" s="8">
        <f>(E146+F146)/2</f>
        <v>182.54</v>
      </c>
      <c r="F153" s="8">
        <f>(F146+G146)/2</f>
        <v>79.849999999999994</v>
      </c>
      <c r="G153" s="8"/>
      <c r="H153" s="8"/>
    </row>
    <row r="154" spans="1:8" x14ac:dyDescent="0.3">
      <c r="A154" s="12" t="s">
        <v>97</v>
      </c>
      <c r="B154" s="11" t="s">
        <v>104</v>
      </c>
      <c r="C154" s="2">
        <f>(C147+D147)/2</f>
        <v>261.89999999999998</v>
      </c>
      <c r="D154" s="2">
        <f t="shared" ref="D154:F154" si="61">(D147+E147)/2</f>
        <v>279.69500000000005</v>
      </c>
      <c r="E154" s="2">
        <f t="shared" si="61"/>
        <v>265.79500000000002</v>
      </c>
      <c r="F154" s="2">
        <f t="shared" si="61"/>
        <v>116.43</v>
      </c>
      <c r="G154" s="2"/>
    </row>
    <row r="155" spans="1:8" x14ac:dyDescent="0.3">
      <c r="A155" s="12" t="s">
        <v>98</v>
      </c>
      <c r="B155" s="11" t="s">
        <v>102</v>
      </c>
      <c r="C155" s="8">
        <f>(C149+D149)/2</f>
        <v>404.84500000000003</v>
      </c>
      <c r="D155" s="8">
        <f t="shared" ref="D155:F155" si="62">(D149+E149)/2</f>
        <v>476.08</v>
      </c>
      <c r="E155" s="8">
        <f t="shared" si="62"/>
        <v>477.15499999999997</v>
      </c>
      <c r="F155" s="8">
        <f t="shared" si="62"/>
        <v>215.26499999999999</v>
      </c>
      <c r="G155" s="8"/>
      <c r="H155" s="8"/>
    </row>
    <row r="156" spans="1:8" x14ac:dyDescent="0.3">
      <c r="A156" s="12" t="s">
        <v>105</v>
      </c>
      <c r="B156" s="11" t="s">
        <v>99</v>
      </c>
      <c r="C156" s="8">
        <f>(C153/C144)*365</f>
        <v>32.436895571185232</v>
      </c>
      <c r="D156" s="8">
        <f t="shared" ref="D156:F156" si="63">(D153/D144)*365</f>
        <v>29.777006489410045</v>
      </c>
      <c r="E156" s="8">
        <f t="shared" si="63"/>
        <v>35.53540094402517</v>
      </c>
      <c r="F156" s="8">
        <f t="shared" si="63"/>
        <v>25.060835096046361</v>
      </c>
      <c r="G156" s="8"/>
      <c r="H156" s="8"/>
    </row>
    <row r="157" spans="1:8" x14ac:dyDescent="0.3">
      <c r="A157" s="12" t="s">
        <v>106</v>
      </c>
      <c r="B157" s="11" t="s">
        <v>100</v>
      </c>
      <c r="C157" s="8">
        <f>(C154/C143)*365</f>
        <v>42.73748636420536</v>
      </c>
      <c r="D157" s="8">
        <f>(D154/D143)*365</f>
        <v>33.398657689577227</v>
      </c>
      <c r="E157" s="8">
        <f>(E154/E143)*365</f>
        <v>39.105934304244954</v>
      </c>
      <c r="F157" s="8">
        <f>(F154/F143)*365</f>
        <v>27.056746845275232</v>
      </c>
      <c r="G157" s="8"/>
      <c r="H157" s="8"/>
    </row>
    <row r="158" spans="1:8" x14ac:dyDescent="0.3">
      <c r="A158" s="12" t="s">
        <v>107</v>
      </c>
      <c r="B158" s="11" t="s">
        <v>101</v>
      </c>
      <c r="C158" s="8">
        <f>(C155/C144)*365</f>
        <v>101.49487952634762</v>
      </c>
      <c r="D158" s="8">
        <f>(D155/D144)*365</f>
        <v>76.659387586742369</v>
      </c>
      <c r="E158" s="8">
        <f t="shared" ref="E158:F158" si="64">(E155/E144)*365</f>
        <v>92.888650364009706</v>
      </c>
      <c r="F158" s="8">
        <f t="shared" si="64"/>
        <v>67.560684620543768</v>
      </c>
      <c r="G158" s="8"/>
      <c r="H158" s="8"/>
    </row>
    <row r="159" spans="1:8" x14ac:dyDescent="0.3">
      <c r="A159" s="12" t="s">
        <v>109</v>
      </c>
      <c r="B159" s="11" t="s">
        <v>108</v>
      </c>
      <c r="C159" s="8">
        <f>C156+C157-C158</f>
        <v>-26.320497590957032</v>
      </c>
      <c r="D159" s="8">
        <f t="shared" ref="D159" si="65">D156+D157-D158</f>
        <v>-13.483723407755093</v>
      </c>
      <c r="E159" s="8">
        <f t="shared" ref="E159" si="66">E156+E157-E158</f>
        <v>-18.247315115739582</v>
      </c>
      <c r="F159" s="8">
        <f t="shared" ref="F159" si="67">F156+F157-F158</f>
        <v>-15.443102679222179</v>
      </c>
      <c r="G159" s="8"/>
      <c r="H159" s="8"/>
    </row>
    <row r="160" spans="1:8" x14ac:dyDescent="0.3">
      <c r="A160" s="12"/>
      <c r="B160" s="1"/>
      <c r="C160" s="6"/>
      <c r="D160" s="6"/>
      <c r="E160" s="6"/>
      <c r="F160" s="6"/>
      <c r="G160" s="6"/>
      <c r="H160" s="7"/>
    </row>
    <row r="161" spans="1:8" ht="14.4" customHeight="1" x14ac:dyDescent="0.3">
      <c r="A161" s="26" t="s">
        <v>38</v>
      </c>
      <c r="B161" s="26"/>
      <c r="C161" s="26"/>
      <c r="D161" s="26"/>
      <c r="E161" s="26"/>
      <c r="F161" s="26"/>
      <c r="G161" s="26"/>
      <c r="H161" s="26"/>
    </row>
    <row r="162" spans="1:8" x14ac:dyDescent="0.3">
      <c r="A162" s="11" t="s">
        <v>10</v>
      </c>
      <c r="B162" s="1"/>
      <c r="C162" s="1" t="s">
        <v>0</v>
      </c>
      <c r="D162" s="1" t="s">
        <v>1</v>
      </c>
      <c r="E162" s="1" t="s">
        <v>2</v>
      </c>
      <c r="F162" s="1" t="s">
        <v>3</v>
      </c>
      <c r="G162" s="1" t="s">
        <v>4</v>
      </c>
      <c r="H162" s="1" t="s">
        <v>12</v>
      </c>
    </row>
    <row r="163" spans="1:8" x14ac:dyDescent="0.3">
      <c r="A163" s="12" t="s">
        <v>8</v>
      </c>
      <c r="B163" s="3"/>
      <c r="C163" s="6">
        <v>4594.25</v>
      </c>
      <c r="D163" s="6">
        <v>4340.59</v>
      </c>
      <c r="E163" s="6">
        <v>4018.76</v>
      </c>
      <c r="F163" s="6">
        <v>3170.41</v>
      </c>
      <c r="G163" s="6">
        <v>2421.21</v>
      </c>
      <c r="H163" s="6">
        <v>2643.24</v>
      </c>
    </row>
    <row r="164" spans="1:8" x14ac:dyDescent="0.3">
      <c r="A164" s="12" t="s">
        <v>11</v>
      </c>
      <c r="B164" s="3"/>
      <c r="C164" s="6">
        <v>1678.07</v>
      </c>
      <c r="D164" s="6">
        <v>1642.25</v>
      </c>
      <c r="E164" s="6">
        <v>1382.95</v>
      </c>
      <c r="F164" s="6">
        <v>916.26</v>
      </c>
      <c r="G164" s="6">
        <v>841.72</v>
      </c>
      <c r="H164" s="7">
        <f>876+13.7-39.8</f>
        <v>849.90000000000009</v>
      </c>
    </row>
    <row r="165" spans="1:8" x14ac:dyDescent="0.3">
      <c r="A165" s="12" t="s">
        <v>28</v>
      </c>
      <c r="B165" s="3"/>
      <c r="C165" s="6">
        <v>2016.17</v>
      </c>
      <c r="D165" s="6">
        <v>1743.87</v>
      </c>
      <c r="E165" s="6">
        <v>1746.56</v>
      </c>
      <c r="F165" s="6">
        <v>1227.0999999999999</v>
      </c>
      <c r="G165" s="6">
        <v>1142.6099999999999</v>
      </c>
      <c r="H165" s="7">
        <v>1161.8399999999999</v>
      </c>
    </row>
    <row r="166" spans="1:8" x14ac:dyDescent="0.3">
      <c r="A166" s="12" t="s">
        <v>5</v>
      </c>
      <c r="B166" s="1"/>
      <c r="C166" s="6">
        <v>1119.4000000000001</v>
      </c>
      <c r="D166" s="6">
        <v>994.09</v>
      </c>
      <c r="E166" s="6">
        <v>1027.92</v>
      </c>
      <c r="F166" s="6">
        <v>716.09</v>
      </c>
      <c r="G166" s="6">
        <v>654.30999999999995</v>
      </c>
      <c r="H166" s="6">
        <v>722.12</v>
      </c>
    </row>
    <row r="167" spans="1:8" x14ac:dyDescent="0.3">
      <c r="A167" s="12" t="s">
        <v>6</v>
      </c>
      <c r="B167" s="1"/>
      <c r="C167" s="6">
        <v>441.77</v>
      </c>
      <c r="D167" s="6">
        <v>353.5</v>
      </c>
      <c r="E167" s="6">
        <v>337.07</v>
      </c>
      <c r="F167" s="6">
        <v>245.57</v>
      </c>
      <c r="G167" s="6">
        <v>268.19</v>
      </c>
      <c r="H167" s="6">
        <v>261.17</v>
      </c>
    </row>
    <row r="168" spans="1:8" ht="14.4" customHeight="1" x14ac:dyDescent="0.3">
      <c r="A168" s="12" t="s">
        <v>29</v>
      </c>
      <c r="B168" s="3"/>
      <c r="C168" s="6">
        <v>1866.29</v>
      </c>
      <c r="D168" s="6">
        <v>1694.39</v>
      </c>
      <c r="E168" s="6">
        <v>1617.18</v>
      </c>
      <c r="F168" s="6">
        <v>1080.71</v>
      </c>
      <c r="G168" s="6">
        <v>1288.51</v>
      </c>
      <c r="H168" s="7">
        <v>1396.54</v>
      </c>
    </row>
    <row r="169" spans="1:8" x14ac:dyDescent="0.3">
      <c r="A169" s="12" t="s">
        <v>7</v>
      </c>
      <c r="B169" s="1"/>
      <c r="C169" s="6">
        <v>1005.36</v>
      </c>
      <c r="D169" s="6">
        <v>854.59</v>
      </c>
      <c r="E169" s="6">
        <v>852.32</v>
      </c>
      <c r="F169" s="6">
        <v>618.12</v>
      </c>
      <c r="G169" s="6">
        <v>639.24</v>
      </c>
      <c r="H169" s="6">
        <v>578.03</v>
      </c>
    </row>
    <row r="170" spans="1:8" x14ac:dyDescent="0.3">
      <c r="A170" s="14"/>
      <c r="B170" s="2"/>
      <c r="C170" s="2"/>
      <c r="D170" s="2"/>
      <c r="E170" s="2"/>
      <c r="F170" s="2"/>
      <c r="G170" s="2"/>
      <c r="H170" s="2"/>
    </row>
    <row r="171" spans="1:8" x14ac:dyDescent="0.3">
      <c r="A171" s="4" t="s">
        <v>93</v>
      </c>
      <c r="B171" s="1"/>
      <c r="C171" s="8"/>
      <c r="D171" s="8"/>
      <c r="E171" s="8"/>
      <c r="F171" s="8"/>
      <c r="G171" s="8"/>
      <c r="H171" s="8"/>
    </row>
    <row r="172" spans="1:8" x14ac:dyDescent="0.3">
      <c r="A172" s="12" t="s">
        <v>94</v>
      </c>
      <c r="B172" s="11" t="s">
        <v>95</v>
      </c>
      <c r="C172" s="8">
        <f>C165-C168</f>
        <v>149.88000000000011</v>
      </c>
      <c r="D172" s="8">
        <f t="shared" ref="D172:G172" si="68">D165-D168</f>
        <v>49.479999999999791</v>
      </c>
      <c r="E172" s="8">
        <f t="shared" si="68"/>
        <v>129.37999999999988</v>
      </c>
      <c r="F172" s="8">
        <f t="shared" si="68"/>
        <v>146.38999999999987</v>
      </c>
      <c r="G172" s="8">
        <f t="shared" si="68"/>
        <v>-145.90000000000009</v>
      </c>
      <c r="H172" s="8">
        <f>H165-H168</f>
        <v>-234.70000000000005</v>
      </c>
    </row>
    <row r="173" spans="1:8" x14ac:dyDescent="0.3">
      <c r="A173" s="12" t="s">
        <v>96</v>
      </c>
      <c r="B173" s="11" t="s">
        <v>103</v>
      </c>
      <c r="C173" s="8">
        <f>(C166+D166)/2</f>
        <v>1056.7450000000001</v>
      </c>
      <c r="D173" s="8">
        <f>(D166+E166)/2</f>
        <v>1011.0050000000001</v>
      </c>
      <c r="E173" s="8">
        <f>(E166+F166)/2</f>
        <v>872.00500000000011</v>
      </c>
      <c r="F173" s="8">
        <f>(F166+G166)/2</f>
        <v>685.2</v>
      </c>
      <c r="G173" s="8">
        <f>(G166+H166)/2</f>
        <v>688.21499999999992</v>
      </c>
      <c r="H173" s="8"/>
    </row>
    <row r="174" spans="1:8" x14ac:dyDescent="0.3">
      <c r="A174" s="12" t="s">
        <v>97</v>
      </c>
      <c r="B174" s="11" t="s">
        <v>104</v>
      </c>
      <c r="C174" s="2">
        <f>(C167+D167)/2</f>
        <v>397.63499999999999</v>
      </c>
      <c r="D174" s="2">
        <f t="shared" ref="D174:G174" si="69">(D167+E167)/2</f>
        <v>345.28499999999997</v>
      </c>
      <c r="E174" s="2">
        <f t="shared" si="69"/>
        <v>291.32</v>
      </c>
      <c r="F174" s="2">
        <f t="shared" si="69"/>
        <v>256.88</v>
      </c>
      <c r="G174" s="2">
        <f t="shared" si="69"/>
        <v>264.68</v>
      </c>
    </row>
    <row r="175" spans="1:8" x14ac:dyDescent="0.3">
      <c r="A175" s="12" t="s">
        <v>98</v>
      </c>
      <c r="B175" s="11" t="s">
        <v>102</v>
      </c>
      <c r="C175" s="8">
        <f>(C169+D169)/2</f>
        <v>929.97500000000002</v>
      </c>
      <c r="D175" s="8">
        <f t="shared" ref="D175:G175" si="70">(D169+E169)/2</f>
        <v>853.45500000000004</v>
      </c>
      <c r="E175" s="8">
        <f t="shared" si="70"/>
        <v>735.22</v>
      </c>
      <c r="F175" s="8">
        <f t="shared" si="70"/>
        <v>628.68000000000006</v>
      </c>
      <c r="G175" s="8">
        <f t="shared" si="70"/>
        <v>608.63499999999999</v>
      </c>
      <c r="H175" s="8"/>
    </row>
    <row r="176" spans="1:8" x14ac:dyDescent="0.3">
      <c r="A176" s="12" t="s">
        <v>105</v>
      </c>
      <c r="B176" s="11" t="s">
        <v>99</v>
      </c>
      <c r="C176" s="8">
        <f>(C173/C164)*365</f>
        <v>229.85449057548257</v>
      </c>
      <c r="D176" s="8">
        <f t="shared" ref="D176:F176" si="71">(D173/D164)*365</f>
        <v>224.70197899223629</v>
      </c>
      <c r="E176" s="8">
        <f t="shared" si="71"/>
        <v>230.14702266893238</v>
      </c>
      <c r="F176" s="8">
        <f t="shared" si="71"/>
        <v>272.95527470368671</v>
      </c>
      <c r="G176" s="8">
        <f>(G173/G164)*365</f>
        <v>298.43472294824875</v>
      </c>
      <c r="H176" s="8"/>
    </row>
    <row r="177" spans="1:8" x14ac:dyDescent="0.3">
      <c r="A177" s="12" t="s">
        <v>106</v>
      </c>
      <c r="B177" s="11" t="s">
        <v>100</v>
      </c>
      <c r="C177" s="8">
        <f>(C174/C163)*365</f>
        <v>31.590961527996953</v>
      </c>
      <c r="D177" s="8">
        <f>(D174/D163)*365</f>
        <v>29.034998698333634</v>
      </c>
      <c r="E177" s="8">
        <f>(E174/E163)*365</f>
        <v>26.45885795618549</v>
      </c>
      <c r="F177" s="8">
        <f>(F174/F163)*365</f>
        <v>29.57384060736624</v>
      </c>
      <c r="G177" s="8">
        <f>(G174/G163)*365</f>
        <v>39.90079340495042</v>
      </c>
      <c r="H177" s="8"/>
    </row>
    <row r="178" spans="1:8" x14ac:dyDescent="0.3">
      <c r="A178" s="12" t="s">
        <v>107</v>
      </c>
      <c r="B178" s="11" t="s">
        <v>101</v>
      </c>
      <c r="C178" s="8">
        <f>(C175/C164)*365</f>
        <v>202.28052167072889</v>
      </c>
      <c r="D178" s="8">
        <f>(D175/D164)*365</f>
        <v>189.6855381336581</v>
      </c>
      <c r="E178" s="8">
        <f t="shared" ref="E178:G178" si="72">(E175/E164)*365</f>
        <v>194.04555479229182</v>
      </c>
      <c r="F178" s="8">
        <f t="shared" si="72"/>
        <v>250.44004976753328</v>
      </c>
      <c r="G178" s="8">
        <f t="shared" si="72"/>
        <v>263.9259789478686</v>
      </c>
      <c r="H178" s="8"/>
    </row>
    <row r="179" spans="1:8" x14ac:dyDescent="0.3">
      <c r="A179" s="12" t="s">
        <v>109</v>
      </c>
      <c r="B179" s="11" t="s">
        <v>108</v>
      </c>
      <c r="C179" s="8">
        <f>C176+C177-C178</f>
        <v>59.164930432750623</v>
      </c>
      <c r="D179" s="8">
        <f t="shared" ref="D179" si="73">D176+D177-D178</f>
        <v>64.051439556911816</v>
      </c>
      <c r="E179" s="8">
        <f t="shared" ref="E179" si="74">E176+E177-E178</f>
        <v>62.560325832826067</v>
      </c>
      <c r="F179" s="8">
        <f t="shared" ref="F179" si="75">F176+F177-F178</f>
        <v>52.089065543519695</v>
      </c>
      <c r="G179" s="8">
        <f t="shared" ref="G179" si="76">G176+G177-G178</f>
        <v>74.409537405330582</v>
      </c>
      <c r="H179" s="8"/>
    </row>
    <row r="180" spans="1:8" x14ac:dyDescent="0.3">
      <c r="A180" s="14"/>
      <c r="B180" s="2"/>
      <c r="C180" s="2"/>
      <c r="D180" s="2"/>
      <c r="E180" s="2"/>
      <c r="F180" s="2"/>
      <c r="G180" s="2"/>
      <c r="H180" s="2"/>
    </row>
    <row r="181" spans="1:8" x14ac:dyDescent="0.3">
      <c r="A181" s="26" t="s">
        <v>39</v>
      </c>
      <c r="B181" s="26"/>
      <c r="C181" s="26"/>
      <c r="D181" s="26"/>
      <c r="E181" s="26"/>
      <c r="F181" s="26"/>
      <c r="G181" s="26"/>
      <c r="H181" s="26"/>
    </row>
    <row r="182" spans="1:8" x14ac:dyDescent="0.3">
      <c r="A182" s="11" t="s">
        <v>10</v>
      </c>
      <c r="B182" s="1"/>
      <c r="C182" s="1" t="s">
        <v>0</v>
      </c>
      <c r="D182" s="1" t="s">
        <v>1</v>
      </c>
      <c r="E182" s="1" t="s">
        <v>2</v>
      </c>
      <c r="F182" s="1" t="s">
        <v>3</v>
      </c>
      <c r="G182" s="1" t="s">
        <v>4</v>
      </c>
      <c r="H182" s="1" t="s">
        <v>12</v>
      </c>
    </row>
    <row r="183" spans="1:8" x14ac:dyDescent="0.3">
      <c r="A183" s="12" t="s">
        <v>8</v>
      </c>
      <c r="B183" s="3"/>
      <c r="C183" s="6">
        <v>4744.3999999999996</v>
      </c>
      <c r="D183" s="6">
        <v>4977.3</v>
      </c>
      <c r="E183" s="6">
        <v>4651.1499999999996</v>
      </c>
      <c r="F183" s="6">
        <v>3966.49</v>
      </c>
      <c r="G183" s="6">
        <v>2413.37</v>
      </c>
      <c r="H183" s="7">
        <v>2671.61</v>
      </c>
    </row>
    <row r="184" spans="1:8" x14ac:dyDescent="0.3">
      <c r="A184" s="12" t="s">
        <v>11</v>
      </c>
      <c r="B184" s="3"/>
      <c r="C184" s="6">
        <v>3311.4</v>
      </c>
      <c r="D184" s="6">
        <v>3608</v>
      </c>
      <c r="E184" s="6">
        <v>3424.98</v>
      </c>
      <c r="F184" s="6">
        <v>2901.88</v>
      </c>
      <c r="G184" s="6">
        <v>1676.63</v>
      </c>
      <c r="H184" s="7">
        <f>1821+38</f>
        <v>1859</v>
      </c>
    </row>
    <row r="185" spans="1:8" x14ac:dyDescent="0.3">
      <c r="A185" s="12" t="s">
        <v>28</v>
      </c>
      <c r="B185" s="2"/>
      <c r="C185" s="7">
        <v>1746.1</v>
      </c>
      <c r="D185" s="7">
        <v>1787.71</v>
      </c>
      <c r="E185" s="7">
        <v>1835.42</v>
      </c>
      <c r="F185" s="7">
        <v>1880.66</v>
      </c>
      <c r="G185" s="7">
        <v>1429.09</v>
      </c>
      <c r="H185" s="7">
        <v>979.79</v>
      </c>
    </row>
    <row r="186" spans="1:8" x14ac:dyDescent="0.3">
      <c r="A186" s="12" t="s">
        <v>5</v>
      </c>
      <c r="B186" s="1"/>
      <c r="C186" s="6">
        <v>769.03</v>
      </c>
      <c r="D186" s="6">
        <v>882.5</v>
      </c>
      <c r="E186" s="6">
        <v>844.27</v>
      </c>
      <c r="F186" s="6">
        <v>799.88</v>
      </c>
      <c r="G186" s="6">
        <v>547.87</v>
      </c>
      <c r="H186" s="6">
        <v>411.66</v>
      </c>
    </row>
    <row r="187" spans="1:8" x14ac:dyDescent="0.3">
      <c r="A187" s="12" t="s">
        <v>6</v>
      </c>
      <c r="B187" s="1"/>
      <c r="C187" s="6">
        <v>800.82</v>
      </c>
      <c r="D187" s="6">
        <v>726.34</v>
      </c>
      <c r="E187" s="6">
        <v>829.12</v>
      </c>
      <c r="F187" s="6">
        <v>891.34</v>
      </c>
      <c r="G187" s="6">
        <v>740.98</v>
      </c>
      <c r="H187" s="6">
        <v>472.43</v>
      </c>
    </row>
    <row r="188" spans="1:8" x14ac:dyDescent="0.3">
      <c r="A188" s="12" t="s">
        <v>29</v>
      </c>
      <c r="B188" s="2"/>
      <c r="C188" s="7">
        <v>1880</v>
      </c>
      <c r="D188" s="7">
        <v>1898.22</v>
      </c>
      <c r="E188" s="7">
        <v>1964.84</v>
      </c>
      <c r="F188" s="7">
        <v>1904.05</v>
      </c>
      <c r="G188" s="7">
        <v>1393.09</v>
      </c>
      <c r="H188" s="7">
        <v>960.49</v>
      </c>
    </row>
    <row r="189" spans="1:8" x14ac:dyDescent="0.3">
      <c r="A189" s="12" t="s">
        <v>7</v>
      </c>
      <c r="B189" s="1"/>
      <c r="C189" s="6">
        <v>1221.29</v>
      </c>
      <c r="D189" s="6">
        <v>1197.07</v>
      </c>
      <c r="E189" s="6">
        <v>1164.57</v>
      </c>
      <c r="F189" s="6">
        <v>1084.46</v>
      </c>
      <c r="G189" s="6">
        <v>896.89</v>
      </c>
      <c r="H189" s="7">
        <v>505.35</v>
      </c>
    </row>
    <row r="191" spans="1:8" x14ac:dyDescent="0.3">
      <c r="A191" s="4" t="s">
        <v>93</v>
      </c>
      <c r="B191" s="1"/>
      <c r="C191" s="8"/>
      <c r="D191" s="8"/>
      <c r="E191" s="8"/>
      <c r="F191" s="8"/>
      <c r="G191" s="8"/>
      <c r="H191" s="8"/>
    </row>
    <row r="192" spans="1:8" x14ac:dyDescent="0.3">
      <c r="A192" s="12" t="s">
        <v>94</v>
      </c>
      <c r="B192" s="11" t="s">
        <v>95</v>
      </c>
      <c r="C192" s="8">
        <f>C185-C188</f>
        <v>-133.90000000000009</v>
      </c>
      <c r="D192" s="8">
        <f t="shared" ref="D192:G192" si="77">D185-D188</f>
        <v>-110.50999999999999</v>
      </c>
      <c r="E192" s="8">
        <f t="shared" si="77"/>
        <v>-129.41999999999985</v>
      </c>
      <c r="F192" s="8">
        <f t="shared" si="77"/>
        <v>-23.389999999999873</v>
      </c>
      <c r="G192" s="8">
        <f t="shared" si="77"/>
        <v>36</v>
      </c>
      <c r="H192" s="8">
        <f>H185-H188</f>
        <v>19.299999999999955</v>
      </c>
    </row>
    <row r="193" spans="1:8" x14ac:dyDescent="0.3">
      <c r="A193" s="12" t="s">
        <v>96</v>
      </c>
      <c r="B193" s="11" t="s">
        <v>103</v>
      </c>
      <c r="C193" s="8">
        <f>(C186+D186)/2</f>
        <v>825.76499999999999</v>
      </c>
      <c r="D193" s="8">
        <f>(D186+E186)/2</f>
        <v>863.38499999999999</v>
      </c>
      <c r="E193" s="8">
        <f>(E186+F186)/2</f>
        <v>822.07500000000005</v>
      </c>
      <c r="F193" s="8">
        <f>(F186+G186)/2</f>
        <v>673.875</v>
      </c>
      <c r="G193" s="8">
        <f>(G186+H186)/2</f>
        <v>479.76499999999999</v>
      </c>
      <c r="H193" s="8"/>
    </row>
    <row r="194" spans="1:8" x14ac:dyDescent="0.3">
      <c r="A194" s="12" t="s">
        <v>97</v>
      </c>
      <c r="B194" s="11" t="s">
        <v>104</v>
      </c>
      <c r="C194" s="2">
        <f>(C187+D187)/2</f>
        <v>763.58</v>
      </c>
      <c r="D194" s="2">
        <f t="shared" ref="D194:G194" si="78">(D187+E187)/2</f>
        <v>777.73</v>
      </c>
      <c r="E194" s="2">
        <f t="shared" si="78"/>
        <v>860.23</v>
      </c>
      <c r="F194" s="2">
        <f t="shared" si="78"/>
        <v>816.16000000000008</v>
      </c>
      <c r="G194" s="2">
        <f t="shared" si="78"/>
        <v>606.70500000000004</v>
      </c>
    </row>
    <row r="195" spans="1:8" x14ac:dyDescent="0.3">
      <c r="A195" s="12" t="s">
        <v>98</v>
      </c>
      <c r="B195" s="11" t="s">
        <v>102</v>
      </c>
      <c r="C195" s="8">
        <f>(C189+D189)/2</f>
        <v>1209.1799999999998</v>
      </c>
      <c r="D195" s="8">
        <f t="shared" ref="D195:G195" si="79">(D189+E189)/2</f>
        <v>1180.82</v>
      </c>
      <c r="E195" s="8">
        <f t="shared" si="79"/>
        <v>1124.5149999999999</v>
      </c>
      <c r="F195" s="8">
        <f t="shared" si="79"/>
        <v>990.67499999999995</v>
      </c>
      <c r="G195" s="8">
        <f t="shared" si="79"/>
        <v>701.12</v>
      </c>
      <c r="H195" s="8"/>
    </row>
    <row r="196" spans="1:8" x14ac:dyDescent="0.3">
      <c r="A196" s="12" t="s">
        <v>105</v>
      </c>
      <c r="B196" s="11" t="s">
        <v>99</v>
      </c>
      <c r="C196" s="8">
        <f>(C193/C184)*365</f>
        <v>91.020180286283747</v>
      </c>
      <c r="D196" s="8">
        <f t="shared" ref="D196:F196" si="80">(D193/D184)*365</f>
        <v>87.343549057649668</v>
      </c>
      <c r="E196" s="8">
        <f t="shared" si="80"/>
        <v>87.608504283236698</v>
      </c>
      <c r="F196" s="8">
        <f t="shared" si="80"/>
        <v>84.760353632817342</v>
      </c>
      <c r="G196" s="8">
        <f>(G193/G184)*365</f>
        <v>104.44416776510022</v>
      </c>
      <c r="H196" s="8"/>
    </row>
    <row r="197" spans="1:8" x14ac:dyDescent="0.3">
      <c r="A197" s="12" t="s">
        <v>106</v>
      </c>
      <c r="B197" s="11" t="s">
        <v>100</v>
      </c>
      <c r="C197" s="8">
        <f>(C194/C183)*365</f>
        <v>58.744351235140385</v>
      </c>
      <c r="D197" s="8">
        <f>(D194/D183)*365</f>
        <v>57.033220822534304</v>
      </c>
      <c r="E197" s="8">
        <f>(E194/E183)*365</f>
        <v>67.506734893520957</v>
      </c>
      <c r="F197" s="8">
        <f>(F194/F183)*365</f>
        <v>75.10378193314493</v>
      </c>
      <c r="G197" s="8">
        <f>(G194/G183)*365</f>
        <v>91.758547176769426</v>
      </c>
      <c r="H197" s="8"/>
    </row>
    <row r="198" spans="1:8" x14ac:dyDescent="0.3">
      <c r="A198" s="12" t="s">
        <v>107</v>
      </c>
      <c r="B198" s="11" t="s">
        <v>101</v>
      </c>
      <c r="C198" s="8">
        <f>(C195/C184)*365</f>
        <v>133.28220692154372</v>
      </c>
      <c r="D198" s="8">
        <f>(D195/D184)*365</f>
        <v>119.4565687361419</v>
      </c>
      <c r="E198" s="8">
        <f t="shared" ref="E198:G198" si="81">(E195/E184)*365</f>
        <v>119.83952461036266</v>
      </c>
      <c r="F198" s="8">
        <f t="shared" si="81"/>
        <v>124.60762505685967</v>
      </c>
      <c r="G198" s="8">
        <f t="shared" si="81"/>
        <v>152.63284087723588</v>
      </c>
      <c r="H198" s="8"/>
    </row>
    <row r="199" spans="1:8" x14ac:dyDescent="0.3">
      <c r="A199" s="12" t="s">
        <v>109</v>
      </c>
      <c r="B199" s="11" t="s">
        <v>108</v>
      </c>
      <c r="C199" s="8">
        <f>C196+C197-C198</f>
        <v>16.482324599880428</v>
      </c>
      <c r="D199" s="8">
        <f t="shared" ref="D199" si="82">D196+D197-D198</f>
        <v>24.920201144042082</v>
      </c>
      <c r="E199" s="8">
        <f t="shared" ref="E199" si="83">E196+E197-E198</f>
        <v>35.275714566394996</v>
      </c>
      <c r="F199" s="8">
        <f t="shared" ref="F199" si="84">F196+F197-F198</f>
        <v>35.256510509102597</v>
      </c>
      <c r="G199" s="8">
        <f t="shared" ref="G199" si="85">G196+G197-G198</f>
        <v>43.56987406463378</v>
      </c>
      <c r="H199" s="8"/>
    </row>
    <row r="202" spans="1:8" x14ac:dyDescent="0.3">
      <c r="A202" s="11" t="s">
        <v>122</v>
      </c>
      <c r="C202" s="1" t="s">
        <v>0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12</v>
      </c>
    </row>
    <row r="203" spans="1:8" x14ac:dyDescent="0.3">
      <c r="A203" s="14" t="s">
        <v>110</v>
      </c>
      <c r="C203" s="24">
        <f>AVERAGE(C12, C32, C52, C72, C92, C112, C132, C152, C172, C192)</f>
        <v>3609.1140000000005</v>
      </c>
      <c r="D203" s="24">
        <f>AVERAGE(D12, D32, D52, D72, D92, D112, D132, D152, D172, D192)</f>
        <v>1831.5889999999995</v>
      </c>
      <c r="E203" s="24">
        <f t="shared" ref="E203:H203" si="86">AVERAGE(E12, E32, E52, E72, E92, E112, E132, E152, E172, E192)</f>
        <v>2323.6940000000022</v>
      </c>
      <c r="F203" s="24">
        <f t="shared" si="86"/>
        <v>2794.5410000000011</v>
      </c>
      <c r="G203" s="24">
        <f t="shared" si="86"/>
        <v>2491.8533333333357</v>
      </c>
      <c r="H203" s="24">
        <f t="shared" si="86"/>
        <v>-586.18888888888694</v>
      </c>
    </row>
    <row r="204" spans="1:8" x14ac:dyDescent="0.3">
      <c r="A204" s="14" t="s">
        <v>120</v>
      </c>
      <c r="C204" s="24">
        <f>AVERAGE(C19, C39, C59, C79, C99, C119, C139, C159, C179, C199)</f>
        <v>1.2629324373647279</v>
      </c>
      <c r="D204" s="24">
        <f>AVERAGE(D19, D39, D59, D79, D99, D119, D139, D159, D179, D199)</f>
        <v>5.783673464291911</v>
      </c>
      <c r="E204" s="24">
        <f>AVERAGE(E19, E39, E59, E79, E99, E119, E139, E159, E179, E199)</f>
        <v>9.7131421500346544</v>
      </c>
      <c r="F204" s="24">
        <f>AVERAGE(F19, F39, F59, F79, F99, F119, F139, F159, F179, F199)</f>
        <v>5.3854899133514085</v>
      </c>
      <c r="G204" s="24">
        <f>AVERAGE(G19, G39, G59, G79, G99, G119, G139, G159, G179, G199)</f>
        <v>8.2609065340627943</v>
      </c>
      <c r="H204" s="24"/>
    </row>
    <row r="205" spans="1:8" x14ac:dyDescent="0.3">
      <c r="A205" s="11" t="s">
        <v>115</v>
      </c>
    </row>
    <row r="206" spans="1:8" x14ac:dyDescent="0.3">
      <c r="A206" s="14" t="s">
        <v>121</v>
      </c>
      <c r="C206" s="24">
        <f>AVERAGE(C12,C32,C52,C72,C92)</f>
        <v>6970.0960000000023</v>
      </c>
      <c r="D206" s="24">
        <f t="shared" ref="D206:G206" si="87">AVERAGE(D12,D32,D52,D72,D92)</f>
        <v>3171.157999999999</v>
      </c>
      <c r="E206" s="24">
        <f t="shared" si="87"/>
        <v>4275.144000000003</v>
      </c>
      <c r="F206" s="24">
        <f t="shared" si="87"/>
        <v>5228.5800000000017</v>
      </c>
      <c r="G206" s="24">
        <f t="shared" si="87"/>
        <v>4242.3240000000051</v>
      </c>
    </row>
    <row r="207" spans="1:8" x14ac:dyDescent="0.3">
      <c r="A207" s="14" t="s">
        <v>120</v>
      </c>
      <c r="C207" s="24">
        <f>AVERAGE(C19, C39, C59, C79, C99)</f>
        <v>-26.476811859287857</v>
      </c>
      <c r="D207" s="24">
        <f t="shared" ref="D207:G207" si="88">AVERAGE(D19, D39, D59, D79, D99)</f>
        <v>-21.09031941666543</v>
      </c>
      <c r="E207" s="24">
        <f t="shared" si="88"/>
        <v>-17.166164786911015</v>
      </c>
      <c r="F207" s="24">
        <f t="shared" si="88"/>
        <v>-24.519472543669618</v>
      </c>
      <c r="G207" s="24">
        <f t="shared" si="88"/>
        <v>-27.361934119037176</v>
      </c>
    </row>
    <row r="208" spans="1:8" x14ac:dyDescent="0.3">
      <c r="A208" s="11" t="s">
        <v>116</v>
      </c>
    </row>
    <row r="209" spans="1:7" x14ac:dyDescent="0.3">
      <c r="A209" s="14" t="s">
        <v>110</v>
      </c>
      <c r="C209" s="24">
        <f>AVERAGE(C112, C132, C152, C172, C192)</f>
        <v>248.13200000000001</v>
      </c>
      <c r="D209" s="24">
        <f t="shared" ref="D209:G209" si="89">AVERAGE(D112, D132, D152, D172, D192)</f>
        <v>492.01999999999987</v>
      </c>
      <c r="E209" s="24">
        <f t="shared" si="89"/>
        <v>372.24400000000003</v>
      </c>
      <c r="F209" s="24">
        <f t="shared" si="89"/>
        <v>360.50199999999995</v>
      </c>
      <c r="G209" s="24">
        <f t="shared" si="89"/>
        <v>303.76499999999999</v>
      </c>
    </row>
    <row r="210" spans="1:7" x14ac:dyDescent="0.3">
      <c r="A210" s="14" t="s">
        <v>120</v>
      </c>
      <c r="C210" s="24">
        <f>AVERAGE(C119, C139, C159, C179, C199)</f>
        <v>29.002676734017314</v>
      </c>
      <c r="D210" s="24">
        <f t="shared" ref="D210:G210" si="90">AVERAGE(D119, D139, D159, D179, D199)</f>
        <v>32.657666345249254</v>
      </c>
      <c r="E210" s="24">
        <f t="shared" si="90"/>
        <v>36.592449086980324</v>
      </c>
      <c r="F210" s="24">
        <f t="shared" si="90"/>
        <v>35.290452370372442</v>
      </c>
      <c r="G210" s="24">
        <f t="shared" si="90"/>
        <v>52.789457350437758</v>
      </c>
    </row>
  </sheetData>
  <mergeCells count="10">
    <mergeCell ref="A181:H181"/>
    <mergeCell ref="A1:H1"/>
    <mergeCell ref="A21:H21"/>
    <mergeCell ref="A41:H41"/>
    <mergeCell ref="A61:H61"/>
    <mergeCell ref="A81:H81"/>
    <mergeCell ref="A101:H101"/>
    <mergeCell ref="A121:H121"/>
    <mergeCell ref="A141:H141"/>
    <mergeCell ref="A161:H161"/>
  </mergeCells>
  <pageMargins left="0.7" right="0.7" top="0.75" bottom="0.75" header="0.3" footer="0.3"/>
  <pageSetup scale="62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BAC6-7F51-43B0-B402-D59650BF583A}">
  <dimension ref="A1:H210"/>
  <sheetViews>
    <sheetView view="pageBreakPreview" topLeftCell="A167" zoomScale="106" zoomScaleNormal="100" workbookViewId="0">
      <selection activeCell="I141" sqref="I141"/>
    </sheetView>
  </sheetViews>
  <sheetFormatPr defaultRowHeight="14.4" x14ac:dyDescent="0.3"/>
  <cols>
    <col min="1" max="1" width="42.44140625" bestFit="1" customWidth="1"/>
    <col min="2" max="2" width="43" bestFit="1" customWidth="1"/>
    <col min="3" max="7" width="10" bestFit="1" customWidth="1"/>
    <col min="8" max="8" width="15" customWidth="1"/>
  </cols>
  <sheetData>
    <row r="1" spans="1:8" x14ac:dyDescent="0.3">
      <c r="A1" s="26" t="s">
        <v>57</v>
      </c>
      <c r="B1" s="26"/>
      <c r="C1" s="26"/>
      <c r="D1" s="26"/>
      <c r="E1" s="26"/>
      <c r="F1" s="26"/>
      <c r="G1" s="26"/>
      <c r="H1" s="26"/>
    </row>
    <row r="2" spans="1:8" s="1" customFormat="1" x14ac:dyDescent="0.3">
      <c r="A2" s="1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12</v>
      </c>
    </row>
    <row r="3" spans="1:8" x14ac:dyDescent="0.3">
      <c r="A3" s="12" t="s">
        <v>8</v>
      </c>
      <c r="B3" s="3"/>
      <c r="C3" s="8">
        <v>517349</v>
      </c>
      <c r="D3" s="8">
        <v>534534</v>
      </c>
      <c r="E3" s="8">
        <v>528315</v>
      </c>
      <c r="F3" s="8">
        <v>423703</v>
      </c>
      <c r="G3" s="8">
        <v>245667</v>
      </c>
      <c r="H3" s="8">
        <v>336953</v>
      </c>
    </row>
    <row r="4" spans="1:8" x14ac:dyDescent="0.3">
      <c r="A4" s="12" t="s">
        <v>11</v>
      </c>
      <c r="B4" s="3"/>
      <c r="C4" s="8">
        <v>432209</v>
      </c>
      <c r="D4" s="8">
        <v>432598</v>
      </c>
      <c r="E4" s="8">
        <v>439391</v>
      </c>
      <c r="F4" s="8">
        <v>350736</v>
      </c>
      <c r="G4" s="8">
        <v>194548</v>
      </c>
      <c r="H4" s="9">
        <v>266135</v>
      </c>
    </row>
    <row r="5" spans="1:8" x14ac:dyDescent="0.3">
      <c r="A5" s="13" t="s">
        <v>28</v>
      </c>
      <c r="B5" s="3"/>
      <c r="C5" s="8">
        <v>269563</v>
      </c>
      <c r="D5" s="8">
        <v>262625</v>
      </c>
      <c r="E5" s="8">
        <v>265932</v>
      </c>
      <c r="F5" s="8">
        <v>222398</v>
      </c>
      <c r="G5" s="8">
        <v>210719</v>
      </c>
      <c r="H5" s="9">
        <v>166654</v>
      </c>
    </row>
    <row r="6" spans="1:8" x14ac:dyDescent="0.3">
      <c r="A6" s="12" t="s">
        <v>5</v>
      </c>
      <c r="B6" s="1"/>
      <c r="C6" s="8">
        <v>89216</v>
      </c>
      <c r="D6" s="8">
        <v>85100</v>
      </c>
      <c r="E6" s="8">
        <v>48926</v>
      </c>
      <c r="F6" s="8">
        <v>45923</v>
      </c>
      <c r="G6" s="8">
        <v>37437</v>
      </c>
      <c r="H6" s="8">
        <v>38802</v>
      </c>
    </row>
    <row r="7" spans="1:8" x14ac:dyDescent="0.3">
      <c r="A7" s="12" t="s">
        <v>6</v>
      </c>
      <c r="B7" s="1"/>
      <c r="C7" s="8">
        <v>15591</v>
      </c>
      <c r="D7" s="8">
        <v>14740</v>
      </c>
      <c r="E7" s="8">
        <v>16898</v>
      </c>
      <c r="F7" s="8">
        <v>14394</v>
      </c>
      <c r="G7" s="8">
        <v>4159</v>
      </c>
      <c r="H7" s="8">
        <v>7483</v>
      </c>
    </row>
    <row r="8" spans="1:8" x14ac:dyDescent="0.3">
      <c r="A8" s="13" t="s">
        <v>29</v>
      </c>
      <c r="B8" s="2"/>
      <c r="C8" s="9">
        <v>257935</v>
      </c>
      <c r="D8" s="9">
        <v>240014</v>
      </c>
      <c r="E8" s="9">
        <v>237276</v>
      </c>
      <c r="F8" s="9">
        <v>200982</v>
      </c>
      <c r="G8" s="9">
        <v>201787</v>
      </c>
      <c r="H8" s="9">
        <v>330682</v>
      </c>
    </row>
    <row r="9" spans="1:8" x14ac:dyDescent="0.3">
      <c r="A9" s="12" t="s">
        <v>7</v>
      </c>
      <c r="B9" s="1"/>
      <c r="C9" s="8">
        <v>122379</v>
      </c>
      <c r="D9" s="8">
        <v>129859</v>
      </c>
      <c r="E9" s="8">
        <v>110722</v>
      </c>
      <c r="F9" s="8">
        <v>134005</v>
      </c>
      <c r="G9" s="8">
        <v>86999</v>
      </c>
      <c r="H9" s="8">
        <v>71048</v>
      </c>
    </row>
    <row r="10" spans="1:8" x14ac:dyDescent="0.3">
      <c r="A10" s="12"/>
      <c r="B10" s="1"/>
      <c r="C10" s="8"/>
      <c r="D10" s="8"/>
      <c r="E10" s="8"/>
      <c r="F10" s="8"/>
      <c r="G10" s="8"/>
      <c r="H10" s="8"/>
    </row>
    <row r="11" spans="1:8" x14ac:dyDescent="0.3">
      <c r="A11" s="4" t="s">
        <v>93</v>
      </c>
      <c r="B11" s="1"/>
      <c r="C11" s="8"/>
      <c r="D11" s="8"/>
      <c r="E11" s="8"/>
      <c r="F11" s="8"/>
      <c r="G11" s="8"/>
      <c r="H11" s="8"/>
    </row>
    <row r="12" spans="1:8" x14ac:dyDescent="0.3">
      <c r="A12" s="12" t="s">
        <v>94</v>
      </c>
      <c r="B12" s="11" t="s">
        <v>95</v>
      </c>
      <c r="C12" s="8">
        <f>C5-C8</f>
        <v>11628</v>
      </c>
      <c r="D12" s="8">
        <f t="shared" ref="D12:G12" si="0">D5-D8</f>
        <v>22611</v>
      </c>
      <c r="E12" s="8">
        <f t="shared" si="0"/>
        <v>28656</v>
      </c>
      <c r="F12" s="8">
        <f t="shared" si="0"/>
        <v>21416</v>
      </c>
      <c r="G12" s="8">
        <f t="shared" si="0"/>
        <v>8932</v>
      </c>
      <c r="H12" s="8">
        <f>H5-H8</f>
        <v>-164028</v>
      </c>
    </row>
    <row r="13" spans="1:8" x14ac:dyDescent="0.3">
      <c r="A13" s="12" t="s">
        <v>96</v>
      </c>
      <c r="B13" s="11" t="s">
        <v>103</v>
      </c>
      <c r="C13" s="8">
        <f>(C6+D6)/2</f>
        <v>87158</v>
      </c>
      <c r="D13" s="8">
        <f>(D6+E6)/2</f>
        <v>67013</v>
      </c>
      <c r="E13" s="8">
        <f>(E6+F6)/2</f>
        <v>47424.5</v>
      </c>
      <c r="F13" s="8">
        <f>(F6+G6)/2</f>
        <v>41680</v>
      </c>
      <c r="G13" s="8">
        <f>(G6+H6)/2</f>
        <v>38119.5</v>
      </c>
      <c r="H13" s="8"/>
    </row>
    <row r="14" spans="1:8" x14ac:dyDescent="0.3">
      <c r="A14" s="12" t="s">
        <v>97</v>
      </c>
      <c r="B14" s="11" t="s">
        <v>104</v>
      </c>
      <c r="C14" s="2">
        <f>(C7+D7)/2</f>
        <v>15165.5</v>
      </c>
      <c r="D14" s="2">
        <f t="shared" ref="D14:G14" si="1">(D7+E7)/2</f>
        <v>15819</v>
      </c>
      <c r="E14" s="2">
        <f t="shared" si="1"/>
        <v>15646</v>
      </c>
      <c r="F14" s="2">
        <f t="shared" si="1"/>
        <v>9276.5</v>
      </c>
      <c r="G14" s="2">
        <f t="shared" si="1"/>
        <v>5821</v>
      </c>
    </row>
    <row r="15" spans="1:8" x14ac:dyDescent="0.3">
      <c r="A15" s="12" t="s">
        <v>98</v>
      </c>
      <c r="B15" s="11" t="s">
        <v>102</v>
      </c>
      <c r="C15" s="8">
        <f>(C9+D9)/2</f>
        <v>126119</v>
      </c>
      <c r="D15" s="8">
        <f t="shared" ref="D15:G15" si="2">(D9+E9)/2</f>
        <v>120290.5</v>
      </c>
      <c r="E15" s="8">
        <f t="shared" si="2"/>
        <v>122363.5</v>
      </c>
      <c r="F15" s="8">
        <f t="shared" si="2"/>
        <v>110502</v>
      </c>
      <c r="G15" s="8">
        <f t="shared" si="2"/>
        <v>79023.5</v>
      </c>
      <c r="H15" s="8"/>
    </row>
    <row r="16" spans="1:8" x14ac:dyDescent="0.3">
      <c r="A16" s="12" t="s">
        <v>105</v>
      </c>
      <c r="B16" s="11" t="s">
        <v>99</v>
      </c>
      <c r="C16" s="8">
        <f>(C13/C4)*365</f>
        <v>73.604830070637121</v>
      </c>
      <c r="D16" s="8">
        <f t="shared" ref="D16:F16" si="3">(D13/D4)*365</f>
        <v>56.541511981100236</v>
      </c>
      <c r="E16" s="8">
        <f t="shared" si="3"/>
        <v>39.395305092730624</v>
      </c>
      <c r="F16" s="8">
        <f t="shared" si="3"/>
        <v>43.375074129829841</v>
      </c>
      <c r="G16" s="8">
        <f>(G13/G4)*365</f>
        <v>71.517658881098754</v>
      </c>
      <c r="H16" s="8"/>
    </row>
    <row r="17" spans="1:8" x14ac:dyDescent="0.3">
      <c r="A17" s="12" t="s">
        <v>106</v>
      </c>
      <c r="B17" s="11" t="s">
        <v>100</v>
      </c>
      <c r="C17" s="8">
        <f>(C14/C3)*365</f>
        <v>10.699561611214094</v>
      </c>
      <c r="D17" s="8">
        <f>(D14/D3)*365</f>
        <v>10.80181054900156</v>
      </c>
      <c r="E17" s="8">
        <f>(E14/E3)*365</f>
        <v>10.809441337081097</v>
      </c>
      <c r="F17" s="8">
        <f>(F14/F3)*365</f>
        <v>7.9912639277984816</v>
      </c>
      <c r="G17" s="8">
        <f>(G14/G3)*365</f>
        <v>8.6485567862187427</v>
      </c>
      <c r="H17" s="8"/>
    </row>
    <row r="18" spans="1:8" x14ac:dyDescent="0.3">
      <c r="A18" s="12" t="s">
        <v>107</v>
      </c>
      <c r="B18" s="11" t="s">
        <v>101</v>
      </c>
      <c r="C18" s="8">
        <f>(C15/C4)*365</f>
        <v>106.50734945362082</v>
      </c>
      <c r="D18" s="8">
        <f>(D15/D4)*365</f>
        <v>101.49384070199123</v>
      </c>
      <c r="E18" s="8">
        <f t="shared" ref="E18:G18" si="4">(E15/E4)*365</f>
        <v>101.64677360255445</v>
      </c>
      <c r="F18" s="8">
        <f t="shared" si="4"/>
        <v>114.99597988230464</v>
      </c>
      <c r="G18" s="8">
        <f t="shared" si="4"/>
        <v>148.25943982975923</v>
      </c>
      <c r="H18" s="8"/>
    </row>
    <row r="19" spans="1:8" x14ac:dyDescent="0.3">
      <c r="A19" s="12" t="s">
        <v>109</v>
      </c>
      <c r="B19" s="11" t="s">
        <v>108</v>
      </c>
      <c r="C19" s="8">
        <f>C16+C17-C18</f>
        <v>-22.202957771769604</v>
      </c>
      <c r="D19" s="8">
        <f t="shared" ref="D19:G19" si="5">D16+D17-D18</f>
        <v>-34.150518171889431</v>
      </c>
      <c r="E19" s="8">
        <f t="shared" si="5"/>
        <v>-51.442027172742726</v>
      </c>
      <c r="F19" s="8">
        <f t="shared" si="5"/>
        <v>-63.629641824676312</v>
      </c>
      <c r="G19" s="8">
        <f t="shared" si="5"/>
        <v>-68.093224162441729</v>
      </c>
      <c r="H19" s="8"/>
    </row>
    <row r="20" spans="1:8" x14ac:dyDescent="0.3">
      <c r="A20" s="12"/>
      <c r="B20" s="1"/>
      <c r="C20" s="8"/>
      <c r="D20" s="8"/>
      <c r="E20" s="8"/>
      <c r="F20" s="8"/>
      <c r="G20" s="8"/>
      <c r="H20" s="8"/>
    </row>
    <row r="21" spans="1:8" x14ac:dyDescent="0.3">
      <c r="A21" s="26" t="s">
        <v>40</v>
      </c>
      <c r="B21" s="26"/>
      <c r="C21" s="26"/>
      <c r="D21" s="26"/>
      <c r="E21" s="26"/>
      <c r="F21" s="26"/>
      <c r="G21" s="26"/>
      <c r="H21" s="26"/>
    </row>
    <row r="22" spans="1:8" x14ac:dyDescent="0.3">
      <c r="A22" s="11" t="s">
        <v>10</v>
      </c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12</v>
      </c>
    </row>
    <row r="23" spans="1:8" x14ac:dyDescent="0.3">
      <c r="A23" s="12" t="s">
        <v>8</v>
      </c>
      <c r="B23" s="3"/>
      <c r="C23" s="5">
        <v>758105.81</v>
      </c>
      <c r="D23" s="5">
        <v>776351.85</v>
      </c>
      <c r="E23" s="5">
        <v>841755.91</v>
      </c>
      <c r="F23" s="5">
        <v>589335.74</v>
      </c>
      <c r="G23" s="5">
        <v>363949.67</v>
      </c>
      <c r="H23" s="5">
        <v>483763.04</v>
      </c>
    </row>
    <row r="24" spans="1:8" x14ac:dyDescent="0.3">
      <c r="A24" s="12" t="s">
        <v>11</v>
      </c>
      <c r="B24" s="3"/>
      <c r="C24" s="6">
        <v>656785.5</v>
      </c>
      <c r="D24" s="6">
        <v>638799.16</v>
      </c>
      <c r="E24" s="6">
        <v>747634.99000000011</v>
      </c>
      <c r="F24" s="6">
        <v>486952.9</v>
      </c>
      <c r="G24" s="6">
        <v>275466.59000000003</v>
      </c>
      <c r="H24" s="6">
        <f>281080+139463+5-5414.35</f>
        <v>415133.65</v>
      </c>
    </row>
    <row r="25" spans="1:8" x14ac:dyDescent="0.3">
      <c r="A25" s="12" t="s">
        <v>28</v>
      </c>
      <c r="B25" s="4"/>
      <c r="C25" s="6">
        <v>157643.15</v>
      </c>
      <c r="D25" s="6">
        <v>158448.26999999999</v>
      </c>
      <c r="E25" s="6">
        <v>158865.49</v>
      </c>
      <c r="F25" s="6">
        <v>146860.69</v>
      </c>
      <c r="G25" s="6">
        <v>116208.69</v>
      </c>
      <c r="H25" s="6">
        <v>110735.28</v>
      </c>
    </row>
    <row r="26" spans="1:8" x14ac:dyDescent="0.3">
      <c r="A26" s="12" t="s">
        <v>5</v>
      </c>
      <c r="B26" s="1"/>
      <c r="C26" s="6">
        <v>113878.49</v>
      </c>
      <c r="D26" s="6">
        <v>121375.83</v>
      </c>
      <c r="E26" s="6">
        <v>121107.58</v>
      </c>
      <c r="F26" s="6">
        <v>111736.51</v>
      </c>
      <c r="G26" s="6">
        <v>83427.460000000006</v>
      </c>
      <c r="H26" s="6">
        <v>67010.759999999995</v>
      </c>
    </row>
    <row r="27" spans="1:8" x14ac:dyDescent="0.3">
      <c r="A27" s="12" t="s">
        <v>6</v>
      </c>
      <c r="B27" s="1"/>
      <c r="C27" s="6">
        <v>18550.96</v>
      </c>
      <c r="D27" s="6">
        <v>13831.45</v>
      </c>
      <c r="E27" s="6">
        <v>16271.21</v>
      </c>
      <c r="F27" s="6">
        <v>18700.419999999998</v>
      </c>
      <c r="G27" s="6">
        <v>13800.2</v>
      </c>
      <c r="H27" s="6">
        <v>13259.48</v>
      </c>
    </row>
    <row r="28" spans="1:8" x14ac:dyDescent="0.3">
      <c r="A28" s="12" t="s">
        <v>29</v>
      </c>
      <c r="B28" s="4"/>
      <c r="C28" s="6">
        <v>230614.41</v>
      </c>
      <c r="D28" s="6">
        <v>216403.93</v>
      </c>
      <c r="E28" s="6">
        <v>206658.33</v>
      </c>
      <c r="F28" s="6">
        <v>192154.7</v>
      </c>
      <c r="G28" s="6">
        <v>162174.89000000001</v>
      </c>
      <c r="H28" s="6">
        <v>161517.84</v>
      </c>
    </row>
    <row r="29" spans="1:8" x14ac:dyDescent="0.3">
      <c r="A29" s="12" t="s">
        <v>7</v>
      </c>
      <c r="B29" s="1"/>
      <c r="C29" s="6">
        <v>60534.94</v>
      </c>
      <c r="D29" s="6">
        <v>59454.1</v>
      </c>
      <c r="E29" s="6">
        <v>54734.1</v>
      </c>
      <c r="F29" s="6">
        <v>49045.91</v>
      </c>
      <c r="G29" s="6">
        <v>37247.97</v>
      </c>
      <c r="H29" s="6">
        <v>27576.26</v>
      </c>
    </row>
    <row r="30" spans="1:8" x14ac:dyDescent="0.3">
      <c r="A30" s="12"/>
      <c r="B30" s="1"/>
      <c r="C30" s="6"/>
      <c r="D30" s="6"/>
      <c r="E30" s="6"/>
      <c r="F30" s="6"/>
      <c r="G30" s="6"/>
      <c r="H30" s="6"/>
    </row>
    <row r="31" spans="1:8" x14ac:dyDescent="0.3">
      <c r="A31" s="4" t="s">
        <v>93</v>
      </c>
      <c r="B31" s="1"/>
      <c r="C31" s="8"/>
      <c r="D31" s="8"/>
      <c r="E31" s="8"/>
      <c r="F31" s="8"/>
      <c r="G31" s="8"/>
      <c r="H31" s="8"/>
    </row>
    <row r="32" spans="1:8" x14ac:dyDescent="0.3">
      <c r="A32" s="12" t="s">
        <v>94</v>
      </c>
      <c r="B32" s="11" t="s">
        <v>95</v>
      </c>
      <c r="C32" s="8">
        <f>C25-C28</f>
        <v>-72971.260000000009</v>
      </c>
      <c r="D32" s="8">
        <f t="shared" ref="D32:G32" si="6">D25-D28</f>
        <v>-57955.66</v>
      </c>
      <c r="E32" s="8">
        <f t="shared" si="6"/>
        <v>-47792.84</v>
      </c>
      <c r="F32" s="8">
        <f t="shared" si="6"/>
        <v>-45294.010000000009</v>
      </c>
      <c r="G32" s="8">
        <f t="shared" si="6"/>
        <v>-45966.200000000012</v>
      </c>
      <c r="H32" s="8">
        <f>H25-H28</f>
        <v>-50782.559999999998</v>
      </c>
    </row>
    <row r="33" spans="1:8" x14ac:dyDescent="0.3">
      <c r="A33" s="12" t="s">
        <v>96</v>
      </c>
      <c r="B33" s="11" t="s">
        <v>103</v>
      </c>
      <c r="C33" s="8">
        <f>(C26+D26)/2</f>
        <v>117627.16</v>
      </c>
      <c r="D33" s="8">
        <f>(D26+E26)/2</f>
        <v>121241.705</v>
      </c>
      <c r="E33" s="8">
        <f>(E26+F26)/2</f>
        <v>116422.045</v>
      </c>
      <c r="F33" s="8">
        <f>(F26+G26)/2</f>
        <v>97581.985000000001</v>
      </c>
      <c r="G33" s="8">
        <f>(G26+H26)/2</f>
        <v>75219.11</v>
      </c>
      <c r="H33" s="8"/>
    </row>
    <row r="34" spans="1:8" x14ac:dyDescent="0.3">
      <c r="A34" s="12" t="s">
        <v>97</v>
      </c>
      <c r="B34" s="11" t="s">
        <v>104</v>
      </c>
      <c r="C34" s="2">
        <f>(C27+D27)/2</f>
        <v>16191.205</v>
      </c>
      <c r="D34" s="2">
        <f t="shared" ref="D34:G34" si="7">(D27+E27)/2</f>
        <v>15051.33</v>
      </c>
      <c r="E34" s="2">
        <f t="shared" si="7"/>
        <v>17485.814999999999</v>
      </c>
      <c r="F34" s="2">
        <f t="shared" si="7"/>
        <v>16250.31</v>
      </c>
      <c r="G34" s="2">
        <f t="shared" si="7"/>
        <v>13529.84</v>
      </c>
    </row>
    <row r="35" spans="1:8" x14ac:dyDescent="0.3">
      <c r="A35" s="12" t="s">
        <v>98</v>
      </c>
      <c r="B35" s="11" t="s">
        <v>102</v>
      </c>
      <c r="C35" s="8">
        <f>(C29+D29)/2</f>
        <v>59994.520000000004</v>
      </c>
      <c r="D35" s="8">
        <f t="shared" ref="D35:G35" si="8">(D29+E29)/2</f>
        <v>57094.1</v>
      </c>
      <c r="E35" s="8">
        <f t="shared" si="8"/>
        <v>51890.005000000005</v>
      </c>
      <c r="F35" s="8">
        <f t="shared" si="8"/>
        <v>43146.94</v>
      </c>
      <c r="G35" s="8">
        <f t="shared" si="8"/>
        <v>32412.114999999998</v>
      </c>
      <c r="H35" s="8"/>
    </row>
    <row r="36" spans="1:8" x14ac:dyDescent="0.3">
      <c r="A36" s="12" t="s">
        <v>105</v>
      </c>
      <c r="B36" s="11" t="s">
        <v>99</v>
      </c>
      <c r="C36" s="8">
        <f>(C33/C24)*365</f>
        <v>65.36976440557838</v>
      </c>
      <c r="D36" s="8">
        <f t="shared" ref="D36:F36" si="9">(D33/D24)*365</f>
        <v>69.275642637037905</v>
      </c>
      <c r="E36" s="8">
        <f t="shared" si="9"/>
        <v>56.837958353179793</v>
      </c>
      <c r="F36" s="8">
        <f t="shared" si="9"/>
        <v>73.143469368392715</v>
      </c>
      <c r="G36" s="8">
        <f>(G33/G24)*365</f>
        <v>99.667168893331137</v>
      </c>
      <c r="H36" s="8"/>
    </row>
    <row r="37" spans="1:8" x14ac:dyDescent="0.3">
      <c r="A37" s="12" t="s">
        <v>106</v>
      </c>
      <c r="B37" s="11" t="s">
        <v>100</v>
      </c>
      <c r="C37" s="8">
        <f>(C34/C23)*365</f>
        <v>7.7954683199169779</v>
      </c>
      <c r="D37" s="8">
        <f>(D34/D23)*365</f>
        <v>7.0763474705444454</v>
      </c>
      <c r="E37" s="8">
        <f>(E34/E23)*365</f>
        <v>7.582153447547519</v>
      </c>
      <c r="F37" s="8">
        <f>(F34/F23)*365</f>
        <v>10.064489131441443</v>
      </c>
      <c r="G37" s="8">
        <f>(G34/G23)*365</f>
        <v>13.568886049546357</v>
      </c>
      <c r="H37" s="8"/>
    </row>
    <row r="38" spans="1:8" x14ac:dyDescent="0.3">
      <c r="A38" s="12" t="s">
        <v>107</v>
      </c>
      <c r="B38" s="11" t="s">
        <v>101</v>
      </c>
      <c r="C38" s="8">
        <f>(C35/C24)*365</f>
        <v>33.341174249431518</v>
      </c>
      <c r="D38" s="8">
        <f>(D35/D24)*365</f>
        <v>32.622689265903226</v>
      </c>
      <c r="E38" s="8">
        <f t="shared" ref="E38:G38" si="10">(E35/E24)*365</f>
        <v>25.33301955945106</v>
      </c>
      <c r="F38" s="8">
        <f t="shared" si="10"/>
        <v>32.341183510766648</v>
      </c>
      <c r="G38" s="8">
        <f t="shared" si="10"/>
        <v>42.94684874488771</v>
      </c>
      <c r="H38" s="8"/>
    </row>
    <row r="39" spans="1:8" x14ac:dyDescent="0.3">
      <c r="A39" s="12" t="s">
        <v>109</v>
      </c>
      <c r="B39" s="11" t="s">
        <v>108</v>
      </c>
      <c r="C39" s="8">
        <f>C36+C37-C38</f>
        <v>39.82405847606384</v>
      </c>
      <c r="D39" s="8">
        <f t="shared" ref="D39:G39" si="11">D36+D37-D38</f>
        <v>43.729300841679127</v>
      </c>
      <c r="E39" s="8">
        <f t="shared" si="11"/>
        <v>39.087092241276252</v>
      </c>
      <c r="F39" s="8">
        <f t="shared" si="11"/>
        <v>50.866774989067515</v>
      </c>
      <c r="G39" s="8">
        <f t="shared" si="11"/>
        <v>70.289206197989785</v>
      </c>
      <c r="H39" s="8"/>
    </row>
    <row r="40" spans="1:8" x14ac:dyDescent="0.3">
      <c r="A40" s="12"/>
      <c r="B40" s="1"/>
      <c r="C40" s="6"/>
      <c r="D40" s="6"/>
      <c r="E40" s="6"/>
      <c r="F40" s="6"/>
      <c r="G40" s="6"/>
      <c r="H40" s="6"/>
    </row>
    <row r="41" spans="1:8" x14ac:dyDescent="0.3">
      <c r="A41" s="26" t="s">
        <v>59</v>
      </c>
      <c r="B41" s="26"/>
      <c r="C41" s="26"/>
      <c r="D41" s="26"/>
      <c r="E41" s="26"/>
      <c r="F41" s="26"/>
      <c r="G41" s="26"/>
      <c r="H41" s="26"/>
    </row>
    <row r="42" spans="1:8" x14ac:dyDescent="0.3">
      <c r="A42" s="11" t="s">
        <v>10</v>
      </c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12</v>
      </c>
    </row>
    <row r="43" spans="1:8" x14ac:dyDescent="0.3">
      <c r="A43" s="12" t="s">
        <v>8</v>
      </c>
      <c r="B43" s="3"/>
      <c r="C43" s="8">
        <v>440271.86</v>
      </c>
      <c r="D43" s="8">
        <v>448083.03</v>
      </c>
      <c r="E43" s="8">
        <v>473187.18</v>
      </c>
      <c r="F43" s="8">
        <v>346791.12</v>
      </c>
      <c r="G43" s="8">
        <v>230162.63</v>
      </c>
      <c r="H43" s="8">
        <v>284571.90000000002</v>
      </c>
    </row>
    <row r="44" spans="1:8" x14ac:dyDescent="0.3">
      <c r="A44" s="12" t="s">
        <v>11</v>
      </c>
      <c r="B44" s="3"/>
      <c r="C44" s="8">
        <v>385296.91</v>
      </c>
      <c r="D44" s="8">
        <v>376096.14999999997</v>
      </c>
      <c r="E44" s="8">
        <v>433212.29000000004</v>
      </c>
      <c r="F44" s="8">
        <v>303401.27</v>
      </c>
      <c r="G44" s="8">
        <v>187398.76</v>
      </c>
      <c r="H44" s="9">
        <v>252592.13</v>
      </c>
    </row>
    <row r="45" spans="1:8" x14ac:dyDescent="0.3">
      <c r="A45" s="13" t="s">
        <v>28</v>
      </c>
      <c r="B45" s="3"/>
      <c r="C45" s="7">
        <v>72832.22</v>
      </c>
      <c r="D45" s="7">
        <v>65694.11</v>
      </c>
      <c r="E45" s="7">
        <v>56012.93</v>
      </c>
      <c r="F45" s="7">
        <v>61999.360000000001</v>
      </c>
      <c r="G45" s="7">
        <v>51982.49</v>
      </c>
      <c r="H45" s="9">
        <v>43251.75</v>
      </c>
    </row>
    <row r="46" spans="1:8" x14ac:dyDescent="0.3">
      <c r="A46" s="12" t="s">
        <v>5</v>
      </c>
      <c r="B46" s="1"/>
      <c r="C46" s="8">
        <v>45265.19</v>
      </c>
      <c r="D46" s="8">
        <v>42836.13</v>
      </c>
      <c r="E46" s="8">
        <v>38069.19</v>
      </c>
      <c r="F46" s="8">
        <v>42178.74</v>
      </c>
      <c r="G46" s="8">
        <v>26706.02</v>
      </c>
      <c r="H46" s="8">
        <v>22242.6</v>
      </c>
    </row>
    <row r="47" spans="1:8" x14ac:dyDescent="0.3">
      <c r="A47" s="12" t="s">
        <v>6</v>
      </c>
      <c r="B47" s="1"/>
      <c r="C47" s="8">
        <v>9338.98</v>
      </c>
      <c r="D47" s="8">
        <v>8342.0300000000007</v>
      </c>
      <c r="E47" s="8">
        <v>6723.78</v>
      </c>
      <c r="F47" s="8">
        <v>9707.4699999999993</v>
      </c>
      <c r="G47" s="8">
        <v>7834.77</v>
      </c>
      <c r="H47" s="8">
        <v>5378.02</v>
      </c>
    </row>
    <row r="48" spans="1:8" x14ac:dyDescent="0.3">
      <c r="A48" s="13" t="s">
        <v>29</v>
      </c>
      <c r="B48" s="2"/>
      <c r="C48" s="8">
        <v>90672</v>
      </c>
      <c r="D48" s="8">
        <v>80883.38</v>
      </c>
      <c r="E48" s="8">
        <v>74841.710000000006</v>
      </c>
      <c r="F48" s="8">
        <v>83068.47</v>
      </c>
      <c r="G48" s="8">
        <v>56930.38</v>
      </c>
      <c r="H48" s="9">
        <v>60221.5</v>
      </c>
    </row>
    <row r="49" spans="1:8" x14ac:dyDescent="0.3">
      <c r="A49" s="12" t="s">
        <v>7</v>
      </c>
      <c r="B49" s="1"/>
      <c r="C49" s="8">
        <v>30634.06</v>
      </c>
      <c r="D49" s="8">
        <v>28305.81</v>
      </c>
      <c r="E49" s="8">
        <v>24024.26</v>
      </c>
      <c r="F49" s="8">
        <v>30347.72</v>
      </c>
      <c r="G49" s="8">
        <v>16262.67</v>
      </c>
      <c r="H49" s="8">
        <v>13107.21</v>
      </c>
    </row>
    <row r="50" spans="1:8" x14ac:dyDescent="0.3">
      <c r="A50" s="12"/>
      <c r="B50" s="1"/>
      <c r="C50" s="6"/>
      <c r="D50" s="6"/>
      <c r="E50" s="6"/>
      <c r="F50" s="6"/>
      <c r="G50" s="6"/>
      <c r="H50" s="7"/>
    </row>
    <row r="51" spans="1:8" x14ac:dyDescent="0.3">
      <c r="A51" s="4" t="s">
        <v>93</v>
      </c>
      <c r="B51" s="1"/>
      <c r="C51" s="8"/>
      <c r="D51" s="8"/>
      <c r="E51" s="8"/>
      <c r="F51" s="8"/>
      <c r="G51" s="8"/>
      <c r="H51" s="8"/>
    </row>
    <row r="52" spans="1:8" x14ac:dyDescent="0.3">
      <c r="A52" s="12" t="s">
        <v>94</v>
      </c>
      <c r="B52" s="11" t="s">
        <v>95</v>
      </c>
      <c r="C52" s="8">
        <f>C45-C48</f>
        <v>-17839.78</v>
      </c>
      <c r="D52" s="8">
        <f t="shared" ref="D52:G52" si="12">D45-D48</f>
        <v>-15189.270000000004</v>
      </c>
      <c r="E52" s="8">
        <f t="shared" si="12"/>
        <v>-18828.780000000006</v>
      </c>
      <c r="F52" s="8">
        <f t="shared" si="12"/>
        <v>-21069.11</v>
      </c>
      <c r="G52" s="8">
        <f t="shared" si="12"/>
        <v>-4947.8899999999994</v>
      </c>
      <c r="H52" s="8">
        <f>H45-H48</f>
        <v>-16969.75</v>
      </c>
    </row>
    <row r="53" spans="1:8" x14ac:dyDescent="0.3">
      <c r="A53" s="12" t="s">
        <v>96</v>
      </c>
      <c r="B53" s="11" t="s">
        <v>103</v>
      </c>
      <c r="C53" s="8">
        <f>(C46+D46)/2</f>
        <v>44050.66</v>
      </c>
      <c r="D53" s="8">
        <f>(D46+E46)/2</f>
        <v>40452.660000000003</v>
      </c>
      <c r="E53" s="8">
        <f>(E46+F46)/2</f>
        <v>40123.964999999997</v>
      </c>
      <c r="F53" s="8">
        <f>(F46+G46)/2</f>
        <v>34442.379999999997</v>
      </c>
      <c r="G53" s="8">
        <f>(G46+H46)/2</f>
        <v>24474.309999999998</v>
      </c>
      <c r="H53" s="8"/>
    </row>
    <row r="54" spans="1:8" x14ac:dyDescent="0.3">
      <c r="A54" s="12" t="s">
        <v>97</v>
      </c>
      <c r="B54" s="11" t="s">
        <v>104</v>
      </c>
      <c r="C54" s="2">
        <f>(C47+D47)/2</f>
        <v>8840.505000000001</v>
      </c>
      <c r="D54" s="2">
        <f t="shared" ref="D54:G54" si="13">(D47+E47)/2</f>
        <v>7532.9050000000007</v>
      </c>
      <c r="E54" s="2">
        <f t="shared" si="13"/>
        <v>8215.625</v>
      </c>
      <c r="F54" s="2">
        <f t="shared" si="13"/>
        <v>8771.119999999999</v>
      </c>
      <c r="G54" s="2">
        <f t="shared" si="13"/>
        <v>6606.3950000000004</v>
      </c>
    </row>
    <row r="55" spans="1:8" x14ac:dyDescent="0.3">
      <c r="A55" s="12" t="s">
        <v>98</v>
      </c>
      <c r="B55" s="11" t="s">
        <v>102</v>
      </c>
      <c r="C55" s="8">
        <f>(C49+D49)/2</f>
        <v>29469.935000000001</v>
      </c>
      <c r="D55" s="8">
        <f t="shared" ref="D55:G55" si="14">(D49+E49)/2</f>
        <v>26165.035</v>
      </c>
      <c r="E55" s="8">
        <f t="shared" si="14"/>
        <v>27185.989999999998</v>
      </c>
      <c r="F55" s="8">
        <f t="shared" si="14"/>
        <v>23305.195</v>
      </c>
      <c r="G55" s="8">
        <f t="shared" si="14"/>
        <v>14684.939999999999</v>
      </c>
      <c r="H55" s="8"/>
    </row>
    <row r="56" spans="1:8" x14ac:dyDescent="0.3">
      <c r="A56" s="12" t="s">
        <v>105</v>
      </c>
      <c r="B56" s="11" t="s">
        <v>99</v>
      </c>
      <c r="C56" s="8">
        <f>(C53/C44)*365</f>
        <v>41.730131964982547</v>
      </c>
      <c r="D56" s="8">
        <f t="shared" ref="D56:F56" si="15">(D53/D44)*365</f>
        <v>39.259165242717863</v>
      </c>
      <c r="E56" s="8">
        <f t="shared" si="15"/>
        <v>33.806167468148232</v>
      </c>
      <c r="F56" s="8">
        <f t="shared" si="15"/>
        <v>41.435122206311128</v>
      </c>
      <c r="G56" s="8">
        <f>(G53/G44)*365</f>
        <v>47.669062217914345</v>
      </c>
      <c r="H56" s="8"/>
    </row>
    <row r="57" spans="1:8" x14ac:dyDescent="0.3">
      <c r="A57" s="12" t="s">
        <v>106</v>
      </c>
      <c r="B57" s="11" t="s">
        <v>100</v>
      </c>
      <c r="C57" s="8">
        <f>(C54/C43)*365</f>
        <v>7.3290723713298425</v>
      </c>
      <c r="D57" s="8">
        <f>(D54/D43)*365</f>
        <v>6.1361625879917838</v>
      </c>
      <c r="E57" s="8">
        <f>(E54/E43)*365</f>
        <v>6.3372450728694725</v>
      </c>
      <c r="F57" s="8">
        <f>(F54/F43)*365</f>
        <v>9.2316631406248231</v>
      </c>
      <c r="G57" s="8">
        <f>(G54/G43)*365</f>
        <v>10.476653725237673</v>
      </c>
      <c r="H57" s="8"/>
    </row>
    <row r="58" spans="1:8" x14ac:dyDescent="0.3">
      <c r="A58" s="12" t="s">
        <v>107</v>
      </c>
      <c r="B58" s="11" t="s">
        <v>101</v>
      </c>
      <c r="C58" s="8">
        <f>(C55/C44)*365</f>
        <v>27.917499455160439</v>
      </c>
      <c r="D58" s="8">
        <f>(D55/D44)*365</f>
        <v>25.393075081996983</v>
      </c>
      <c r="E58" s="8">
        <f t="shared" ref="E58:G58" si="16">(E55/E44)*365</f>
        <v>22.90536667369247</v>
      </c>
      <c r="F58" s="8">
        <f t="shared" si="16"/>
        <v>28.036784997636953</v>
      </c>
      <c r="G58" s="8">
        <f t="shared" si="16"/>
        <v>28.602126823037672</v>
      </c>
      <c r="H58" s="8"/>
    </row>
    <row r="59" spans="1:8" x14ac:dyDescent="0.3">
      <c r="A59" s="12" t="s">
        <v>109</v>
      </c>
      <c r="B59" s="11" t="s">
        <v>108</v>
      </c>
      <c r="C59" s="8">
        <f>C56+C57-C58</f>
        <v>21.141704881151952</v>
      </c>
      <c r="D59" s="8">
        <f t="shared" ref="D59:G59" si="17">D56+D57-D58</f>
        <v>20.002252748712664</v>
      </c>
      <c r="E59" s="8">
        <f t="shared" si="17"/>
        <v>17.238045867325233</v>
      </c>
      <c r="F59" s="8">
        <f t="shared" si="17"/>
        <v>22.630000349298999</v>
      </c>
      <c r="G59" s="8">
        <f t="shared" si="17"/>
        <v>29.543589120114348</v>
      </c>
      <c r="H59" s="8"/>
    </row>
    <row r="60" spans="1:8" x14ac:dyDescent="0.3">
      <c r="A60" s="14"/>
      <c r="B60" s="2"/>
      <c r="C60" s="2"/>
      <c r="D60" s="2"/>
      <c r="E60" s="2"/>
      <c r="F60" s="2"/>
      <c r="G60" s="2"/>
      <c r="H60" s="2"/>
    </row>
    <row r="61" spans="1:8" x14ac:dyDescent="0.3">
      <c r="A61" s="26" t="s">
        <v>23</v>
      </c>
      <c r="B61" s="26"/>
      <c r="C61" s="26"/>
      <c r="D61" s="26"/>
      <c r="E61" s="26"/>
      <c r="F61" s="26"/>
      <c r="G61" s="26"/>
      <c r="H61" s="26"/>
    </row>
    <row r="62" spans="1:8" x14ac:dyDescent="0.3">
      <c r="A62" s="11" t="s">
        <v>10</v>
      </c>
      <c r="B62" s="1"/>
      <c r="C62" s="1" t="s">
        <v>0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12</v>
      </c>
    </row>
    <row r="63" spans="1:8" x14ac:dyDescent="0.3">
      <c r="A63" s="12" t="s">
        <v>8</v>
      </c>
      <c r="B63" s="3"/>
      <c r="C63" s="6">
        <v>612065.37</v>
      </c>
      <c r="D63" s="6">
        <v>591447.12</v>
      </c>
      <c r="E63" s="6">
        <v>632325.97</v>
      </c>
      <c r="F63" s="6">
        <v>491269.8</v>
      </c>
      <c r="G63" s="6">
        <v>304000.98</v>
      </c>
      <c r="H63" s="7">
        <v>396762.57</v>
      </c>
    </row>
    <row r="64" spans="1:8" x14ac:dyDescent="0.3">
      <c r="A64" s="12" t="s">
        <v>11</v>
      </c>
      <c r="B64" s="3"/>
      <c r="C64" s="7">
        <v>477885.73</v>
      </c>
      <c r="D64" s="7">
        <v>490963.06999999995</v>
      </c>
      <c r="E64" s="7">
        <v>471049.36</v>
      </c>
      <c r="F64" s="7">
        <v>342535.77</v>
      </c>
      <c r="G64" s="7">
        <v>203567.72</v>
      </c>
      <c r="H64" s="7">
        <v>279504.95</v>
      </c>
    </row>
    <row r="65" spans="1:8" x14ac:dyDescent="0.3">
      <c r="A65" s="12" t="s">
        <v>28</v>
      </c>
      <c r="B65" s="3"/>
      <c r="C65" s="7">
        <v>134796.54</v>
      </c>
      <c r="D65" s="7">
        <v>133341.03</v>
      </c>
      <c r="E65" s="7">
        <v>114150.53</v>
      </c>
      <c r="F65" s="7">
        <v>106059.3</v>
      </c>
      <c r="G65" s="7">
        <v>93184.16</v>
      </c>
      <c r="H65" s="7">
        <v>80709.45</v>
      </c>
    </row>
    <row r="66" spans="1:8" x14ac:dyDescent="0.3">
      <c r="A66" s="12" t="s">
        <v>5</v>
      </c>
      <c r="B66" s="1"/>
      <c r="C66" s="6">
        <v>58956.33</v>
      </c>
      <c r="D66" s="6">
        <v>52250.51</v>
      </c>
      <c r="E66" s="6">
        <v>44238.07</v>
      </c>
      <c r="F66" s="6">
        <v>54163.1</v>
      </c>
      <c r="G66" s="6">
        <v>44573.33</v>
      </c>
      <c r="H66" s="7">
        <v>33051.199999999997</v>
      </c>
    </row>
    <row r="67" spans="1:8" x14ac:dyDescent="0.3">
      <c r="A67" s="12" t="s">
        <v>6</v>
      </c>
      <c r="B67" s="1"/>
      <c r="C67" s="6">
        <v>21227.8</v>
      </c>
      <c r="D67" s="6">
        <v>19762.95</v>
      </c>
      <c r="E67" s="6">
        <v>18751.580000000002</v>
      </c>
      <c r="F67" s="6">
        <v>19187.28</v>
      </c>
      <c r="G67" s="6">
        <v>16015.83</v>
      </c>
      <c r="H67" s="6">
        <v>9173.41</v>
      </c>
    </row>
    <row r="68" spans="1:8" x14ac:dyDescent="0.3">
      <c r="A68" s="12" t="s">
        <v>29</v>
      </c>
      <c r="B68" s="3"/>
      <c r="C68" s="7">
        <v>166842.01</v>
      </c>
      <c r="D68" s="7">
        <v>151277.46</v>
      </c>
      <c r="E68" s="7">
        <v>132270.18</v>
      </c>
      <c r="F68" s="7">
        <v>127424.28</v>
      </c>
      <c r="G68" s="7">
        <v>123264.75</v>
      </c>
      <c r="H68" s="7">
        <v>125072.58</v>
      </c>
    </row>
    <row r="69" spans="1:8" x14ac:dyDescent="0.3">
      <c r="A69" s="12" t="s">
        <v>7</v>
      </c>
      <c r="B69" s="1"/>
      <c r="C69" s="6">
        <v>38975.53</v>
      </c>
      <c r="D69" s="6">
        <v>37490.29</v>
      </c>
      <c r="E69" s="6">
        <v>33642.6</v>
      </c>
      <c r="F69" s="6">
        <v>40171.07</v>
      </c>
      <c r="G69" s="6">
        <v>27449.15</v>
      </c>
      <c r="H69" s="7">
        <v>22961.13</v>
      </c>
    </row>
    <row r="70" spans="1:8" x14ac:dyDescent="0.3">
      <c r="A70" s="14"/>
      <c r="B70" s="2"/>
      <c r="C70" s="2"/>
      <c r="D70" s="2"/>
      <c r="E70" s="2"/>
      <c r="F70" s="2"/>
      <c r="G70" s="2"/>
      <c r="H70" s="2"/>
    </row>
    <row r="71" spans="1:8" x14ac:dyDescent="0.3">
      <c r="A71" s="4" t="s">
        <v>93</v>
      </c>
      <c r="B71" s="1"/>
      <c r="C71" s="8"/>
      <c r="D71" s="8"/>
      <c r="E71" s="8"/>
      <c r="F71" s="8"/>
      <c r="G71" s="8"/>
      <c r="H71" s="8"/>
    </row>
    <row r="72" spans="1:8" x14ac:dyDescent="0.3">
      <c r="A72" s="12" t="s">
        <v>94</v>
      </c>
      <c r="B72" s="11" t="s">
        <v>95</v>
      </c>
      <c r="C72" s="8">
        <f>C65-C68</f>
        <v>-32045.47</v>
      </c>
      <c r="D72" s="8">
        <f t="shared" ref="D72:G72" si="18">D65-D68</f>
        <v>-17936.429999999993</v>
      </c>
      <c r="E72" s="8">
        <f t="shared" si="18"/>
        <v>-18119.649999999994</v>
      </c>
      <c r="F72" s="8">
        <f t="shared" si="18"/>
        <v>-21364.979999999996</v>
      </c>
      <c r="G72" s="8">
        <f t="shared" si="18"/>
        <v>-30080.589999999997</v>
      </c>
      <c r="H72" s="8">
        <f>H65-H68</f>
        <v>-44363.130000000005</v>
      </c>
    </row>
    <row r="73" spans="1:8" x14ac:dyDescent="0.3">
      <c r="A73" s="12" t="s">
        <v>96</v>
      </c>
      <c r="B73" s="11" t="s">
        <v>103</v>
      </c>
      <c r="C73" s="8">
        <f>(C66+D66)/2</f>
        <v>55603.42</v>
      </c>
      <c r="D73" s="8">
        <f>(D66+E66)/2</f>
        <v>48244.29</v>
      </c>
      <c r="E73" s="8">
        <f>(E66+F66)/2</f>
        <v>49200.584999999999</v>
      </c>
      <c r="F73" s="8">
        <f>(F66+G66)/2</f>
        <v>49368.214999999997</v>
      </c>
      <c r="G73" s="8">
        <f>(G66+H66)/2</f>
        <v>38812.264999999999</v>
      </c>
      <c r="H73" s="8"/>
    </row>
    <row r="74" spans="1:8" x14ac:dyDescent="0.3">
      <c r="A74" s="12" t="s">
        <v>97</v>
      </c>
      <c r="B74" s="11" t="s">
        <v>104</v>
      </c>
      <c r="C74" s="2">
        <f>(C67+D67)/2</f>
        <v>20495.375</v>
      </c>
      <c r="D74" s="2">
        <f t="shared" ref="D74:G74" si="19">(D67+E67)/2</f>
        <v>19257.264999999999</v>
      </c>
      <c r="E74" s="2">
        <f t="shared" si="19"/>
        <v>18969.43</v>
      </c>
      <c r="F74" s="2">
        <f t="shared" si="19"/>
        <v>17601.555</v>
      </c>
      <c r="G74" s="2">
        <f t="shared" si="19"/>
        <v>12594.619999999999</v>
      </c>
    </row>
    <row r="75" spans="1:8" x14ac:dyDescent="0.3">
      <c r="A75" s="12" t="s">
        <v>98</v>
      </c>
      <c r="B75" s="11" t="s">
        <v>102</v>
      </c>
      <c r="C75" s="8">
        <f>(C69+D69)/2</f>
        <v>38232.910000000003</v>
      </c>
      <c r="D75" s="8">
        <f t="shared" ref="D75:G75" si="20">(D69+E69)/2</f>
        <v>35566.445</v>
      </c>
      <c r="E75" s="8">
        <f t="shared" si="20"/>
        <v>36906.834999999999</v>
      </c>
      <c r="F75" s="8">
        <f t="shared" si="20"/>
        <v>33810.11</v>
      </c>
      <c r="G75" s="8">
        <f t="shared" si="20"/>
        <v>25205.14</v>
      </c>
      <c r="H75" s="8"/>
    </row>
    <row r="76" spans="1:8" x14ac:dyDescent="0.3">
      <c r="A76" s="12" t="s">
        <v>105</v>
      </c>
      <c r="B76" s="11" t="s">
        <v>99</v>
      </c>
      <c r="C76" s="8">
        <f>(C73/C64)*365</f>
        <v>42.468830990203458</v>
      </c>
      <c r="D76" s="8">
        <f t="shared" ref="D76:F76" si="21">(D73/D64)*365</f>
        <v>35.86657923171289</v>
      </c>
      <c r="E76" s="8">
        <f t="shared" si="21"/>
        <v>38.123846564614801</v>
      </c>
      <c r="F76" s="8">
        <f t="shared" si="21"/>
        <v>52.605888357294766</v>
      </c>
      <c r="G76" s="8">
        <f>(G73/G64)*365</f>
        <v>69.59097800476421</v>
      </c>
      <c r="H76" s="8"/>
    </row>
    <row r="77" spans="1:8" x14ac:dyDescent="0.3">
      <c r="A77" s="12" t="s">
        <v>106</v>
      </c>
      <c r="B77" s="11" t="s">
        <v>100</v>
      </c>
      <c r="C77" s="8">
        <f>(C74/C63)*365</f>
        <v>12.222243312017474</v>
      </c>
      <c r="D77" s="8">
        <f>(D74/D63)*365</f>
        <v>11.884243725795807</v>
      </c>
      <c r="E77" s="8">
        <f>(E74/E63)*365</f>
        <v>10.949798487637635</v>
      </c>
      <c r="F77" s="8">
        <f>(F74/F63)*365</f>
        <v>13.077473060627785</v>
      </c>
      <c r="G77" s="8">
        <f>(G74/G63)*365</f>
        <v>15.121781186363281</v>
      </c>
      <c r="H77" s="8"/>
    </row>
    <row r="78" spans="1:8" x14ac:dyDescent="0.3">
      <c r="A78" s="12" t="s">
        <v>107</v>
      </c>
      <c r="B78" s="11" t="s">
        <v>101</v>
      </c>
      <c r="C78" s="8">
        <f>(C75/C64)*365</f>
        <v>29.201566972924681</v>
      </c>
      <c r="D78" s="8">
        <f>(D75/D64)*365</f>
        <v>26.441403067240888</v>
      </c>
      <c r="E78" s="8">
        <f t="shared" ref="E78:G78" si="22">(E75/E64)*365</f>
        <v>28.597841158302394</v>
      </c>
      <c r="F78" s="8">
        <f t="shared" si="22"/>
        <v>36.027449483596996</v>
      </c>
      <c r="G78" s="8">
        <f t="shared" si="22"/>
        <v>45.193197133612337</v>
      </c>
      <c r="H78" s="8"/>
    </row>
    <row r="79" spans="1:8" x14ac:dyDescent="0.3">
      <c r="A79" s="12" t="s">
        <v>109</v>
      </c>
      <c r="B79" s="11" t="s">
        <v>108</v>
      </c>
      <c r="C79" s="8">
        <f>C76+C77-C78</f>
        <v>25.489507329296252</v>
      </c>
      <c r="D79" s="8">
        <f t="shared" ref="D79:G79" si="23">D76+D77-D78</f>
        <v>21.309419890267808</v>
      </c>
      <c r="E79" s="8">
        <f t="shared" si="23"/>
        <v>20.475803893950044</v>
      </c>
      <c r="F79" s="8">
        <f t="shared" si="23"/>
        <v>29.655911934325559</v>
      </c>
      <c r="G79" s="8">
        <f t="shared" si="23"/>
        <v>39.519562057515152</v>
      </c>
      <c r="H79" s="8"/>
    </row>
    <row r="80" spans="1:8" x14ac:dyDescent="0.3">
      <c r="A80" s="14"/>
      <c r="B80" s="2"/>
      <c r="C80" s="2"/>
      <c r="D80" s="2"/>
      <c r="E80" s="2"/>
      <c r="F80" s="2"/>
      <c r="G80" s="2"/>
      <c r="H80" s="2"/>
    </row>
    <row r="81" spans="1:8" x14ac:dyDescent="0.3">
      <c r="A81" s="26" t="s">
        <v>24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11" t="s">
        <v>10</v>
      </c>
      <c r="B82" s="1"/>
      <c r="C82" s="1" t="s">
        <v>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12</v>
      </c>
    </row>
    <row r="83" spans="1:8" x14ac:dyDescent="0.3">
      <c r="A83" s="12" t="s">
        <v>8</v>
      </c>
      <c r="B83" s="3"/>
      <c r="C83" s="6">
        <v>141903.49</v>
      </c>
      <c r="D83" s="6">
        <v>133228.46</v>
      </c>
      <c r="E83" s="6">
        <v>145668.29999999999</v>
      </c>
      <c r="F83" s="6">
        <v>92769.83</v>
      </c>
      <c r="G83" s="6">
        <v>57371.91</v>
      </c>
      <c r="H83" s="6">
        <v>72517.7</v>
      </c>
    </row>
    <row r="84" spans="1:8" x14ac:dyDescent="0.3">
      <c r="A84" s="12" t="s">
        <v>11</v>
      </c>
      <c r="B84" s="3"/>
      <c r="C84" s="6">
        <v>115738.22</v>
      </c>
      <c r="D84" s="6">
        <v>107954.52</v>
      </c>
      <c r="E84" s="6">
        <v>128831.33</v>
      </c>
      <c r="F84" s="6">
        <v>70107.180000000008</v>
      </c>
      <c r="G84" s="6">
        <v>43725.209999999992</v>
      </c>
      <c r="H84" s="7">
        <v>56862.11</v>
      </c>
    </row>
    <row r="85" spans="1:8" x14ac:dyDescent="0.3">
      <c r="A85" s="12" t="s">
        <v>28</v>
      </c>
      <c r="B85" s="3"/>
      <c r="C85" s="6">
        <v>21501.7</v>
      </c>
      <c r="D85" s="6">
        <v>20271.810000000001</v>
      </c>
      <c r="E85" s="6">
        <v>20530.689999999999</v>
      </c>
      <c r="F85" s="6">
        <v>16307.15</v>
      </c>
      <c r="G85" s="6">
        <v>10867.23</v>
      </c>
      <c r="H85" s="7">
        <v>11994.43</v>
      </c>
    </row>
    <row r="86" spans="1:8" x14ac:dyDescent="0.3">
      <c r="A86" s="12" t="s">
        <v>5</v>
      </c>
      <c r="B86" s="1"/>
      <c r="C86" s="6">
        <v>6249.92</v>
      </c>
      <c r="D86" s="6">
        <v>5970</v>
      </c>
      <c r="E86" s="6">
        <v>5917.92</v>
      </c>
      <c r="F86" s="6">
        <v>3576.61</v>
      </c>
      <c r="G86" s="6">
        <v>2989.73</v>
      </c>
      <c r="H86" s="6">
        <v>3183.01</v>
      </c>
    </row>
    <row r="87" spans="1:8" x14ac:dyDescent="0.3">
      <c r="A87" s="12" t="s">
        <v>6</v>
      </c>
      <c r="B87" s="1"/>
      <c r="C87" s="6">
        <v>9436.44</v>
      </c>
      <c r="D87" s="6">
        <v>9580.27</v>
      </c>
      <c r="E87" s="6">
        <v>10679.61</v>
      </c>
      <c r="F87" s="6">
        <v>7446.53</v>
      </c>
      <c r="G87" s="6">
        <v>3501.5</v>
      </c>
      <c r="H87" s="6">
        <v>4818.3100000000004</v>
      </c>
    </row>
    <row r="88" spans="1:8" x14ac:dyDescent="0.3">
      <c r="A88" s="12" t="s">
        <v>29</v>
      </c>
      <c r="B88" s="3"/>
      <c r="C88" s="6">
        <v>21899.51</v>
      </c>
      <c r="D88" s="6">
        <v>21640.54</v>
      </c>
      <c r="E88" s="6">
        <v>21711.02</v>
      </c>
      <c r="F88" s="6">
        <v>15092.73</v>
      </c>
      <c r="G88" s="6">
        <v>12552.33</v>
      </c>
      <c r="H88" s="7">
        <v>12476.15</v>
      </c>
    </row>
    <row r="89" spans="1:8" x14ac:dyDescent="0.3">
      <c r="A89" s="12" t="s">
        <v>7</v>
      </c>
      <c r="B89" s="1"/>
      <c r="C89" s="6">
        <v>7759.85</v>
      </c>
      <c r="D89" s="6">
        <v>6639.67</v>
      </c>
      <c r="E89" s="6">
        <v>7143.56</v>
      </c>
      <c r="F89" s="6">
        <v>5361.26</v>
      </c>
      <c r="G89" s="6">
        <v>4453.18</v>
      </c>
      <c r="H89" s="6">
        <v>3922.18</v>
      </c>
    </row>
    <row r="90" spans="1:8" x14ac:dyDescent="0.3">
      <c r="A90" s="12"/>
      <c r="B90" s="1"/>
      <c r="C90" s="6"/>
      <c r="D90" s="6"/>
      <c r="E90" s="6"/>
      <c r="F90" s="6"/>
      <c r="G90" s="6"/>
      <c r="H90" s="7"/>
    </row>
    <row r="91" spans="1:8" x14ac:dyDescent="0.3">
      <c r="A91" s="4" t="s">
        <v>93</v>
      </c>
      <c r="B91" s="1"/>
      <c r="C91" s="8"/>
      <c r="D91" s="8"/>
      <c r="E91" s="8"/>
      <c r="F91" s="8"/>
      <c r="G91" s="8"/>
      <c r="H91" s="8"/>
    </row>
    <row r="92" spans="1:8" x14ac:dyDescent="0.3">
      <c r="A92" s="12" t="s">
        <v>94</v>
      </c>
      <c r="B92" s="11" t="s">
        <v>95</v>
      </c>
      <c r="C92" s="8">
        <f>C85-C88</f>
        <v>-397.80999999999767</v>
      </c>
      <c r="D92" s="8">
        <f t="shared" ref="D92:G92" si="24">D85-D88</f>
        <v>-1368.7299999999996</v>
      </c>
      <c r="E92" s="8">
        <f t="shared" si="24"/>
        <v>-1180.3300000000017</v>
      </c>
      <c r="F92" s="8">
        <f t="shared" si="24"/>
        <v>1214.42</v>
      </c>
      <c r="G92" s="8">
        <f t="shared" si="24"/>
        <v>-1685.1000000000004</v>
      </c>
      <c r="H92" s="8">
        <f>H85-H88</f>
        <v>-481.71999999999935</v>
      </c>
    </row>
    <row r="93" spans="1:8" x14ac:dyDescent="0.3">
      <c r="A93" s="12" t="s">
        <v>96</v>
      </c>
      <c r="B93" s="11" t="s">
        <v>103</v>
      </c>
      <c r="C93" s="8">
        <f>(C86+D86)/2</f>
        <v>6109.96</v>
      </c>
      <c r="D93" s="8">
        <f>(D86+E86)/2</f>
        <v>5943.96</v>
      </c>
      <c r="E93" s="8">
        <f>(E86+F86)/2</f>
        <v>4747.2650000000003</v>
      </c>
      <c r="F93" s="8">
        <f>(F86+G86)/2</f>
        <v>3283.17</v>
      </c>
      <c r="G93" s="8">
        <f>(G86+H86)/2</f>
        <v>3086.37</v>
      </c>
      <c r="H93" s="8"/>
    </row>
    <row r="94" spans="1:8" x14ac:dyDescent="0.3">
      <c r="A94" s="12" t="s">
        <v>97</v>
      </c>
      <c r="B94" s="11" t="s">
        <v>104</v>
      </c>
      <c r="C94" s="2">
        <f>(C87+D87)/2</f>
        <v>9508.3549999999996</v>
      </c>
      <c r="D94" s="2">
        <f t="shared" ref="D94:G94" si="25">(D87+E87)/2</f>
        <v>10129.94</v>
      </c>
      <c r="E94" s="2">
        <f t="shared" si="25"/>
        <v>9063.07</v>
      </c>
      <c r="F94" s="2">
        <f t="shared" si="25"/>
        <v>5474.0149999999994</v>
      </c>
      <c r="G94" s="2">
        <f t="shared" si="25"/>
        <v>4159.9050000000007</v>
      </c>
    </row>
    <row r="95" spans="1:8" x14ac:dyDescent="0.3">
      <c r="A95" s="12" t="s">
        <v>98</v>
      </c>
      <c r="B95" s="11" t="s">
        <v>102</v>
      </c>
      <c r="C95" s="8">
        <f>(C89+D89)/2</f>
        <v>7199.76</v>
      </c>
      <c r="D95" s="8">
        <f t="shared" ref="D95:G95" si="26">(D89+E89)/2</f>
        <v>6891.6149999999998</v>
      </c>
      <c r="E95" s="8">
        <f t="shared" si="26"/>
        <v>6252.41</v>
      </c>
      <c r="F95" s="8">
        <f t="shared" si="26"/>
        <v>4907.22</v>
      </c>
      <c r="G95" s="8">
        <f t="shared" si="26"/>
        <v>4187.68</v>
      </c>
      <c r="H95" s="8"/>
    </row>
    <row r="96" spans="1:8" x14ac:dyDescent="0.3">
      <c r="A96" s="12" t="s">
        <v>105</v>
      </c>
      <c r="B96" s="11" t="s">
        <v>99</v>
      </c>
      <c r="C96" s="8">
        <f>(C93/C84)*365</f>
        <v>19.2687895148206</v>
      </c>
      <c r="D96" s="8">
        <f t="shared" ref="D96:F96" si="27">(D93/D84)*365</f>
        <v>20.096846338624822</v>
      </c>
      <c r="E96" s="8">
        <f t="shared" si="27"/>
        <v>13.449769749330386</v>
      </c>
      <c r="F96" s="8">
        <f t="shared" si="27"/>
        <v>17.093214275627687</v>
      </c>
      <c r="G96" s="8">
        <f>(G93/G84)*365</f>
        <v>25.763742472591904</v>
      </c>
      <c r="H96" s="8"/>
    </row>
    <row r="97" spans="1:8" x14ac:dyDescent="0.3">
      <c r="A97" s="12" t="s">
        <v>106</v>
      </c>
      <c r="B97" s="11" t="s">
        <v>100</v>
      </c>
      <c r="C97" s="8">
        <f>(C94/C83)*365</f>
        <v>24.457112189418314</v>
      </c>
      <c r="D97" s="8">
        <f>(D94/D83)*365</f>
        <v>27.752539509951553</v>
      </c>
      <c r="E97" s="8">
        <f>(E94/E83)*365</f>
        <v>22.709268591725174</v>
      </c>
      <c r="F97" s="8">
        <f>(F94/F83)*365</f>
        <v>21.537341126959053</v>
      </c>
      <c r="G97" s="8">
        <f>(G94/G83)*365</f>
        <v>26.46530898134645</v>
      </c>
      <c r="H97" s="8"/>
    </row>
    <row r="98" spans="1:8" x14ac:dyDescent="0.3">
      <c r="A98" s="12" t="s">
        <v>107</v>
      </c>
      <c r="B98" s="11" t="s">
        <v>101</v>
      </c>
      <c r="C98" s="8">
        <f>(C95/C84)*365</f>
        <v>22.705657647059027</v>
      </c>
      <c r="D98" s="8">
        <f>(D95/D84)*365</f>
        <v>23.30091852569026</v>
      </c>
      <c r="E98" s="8">
        <f t="shared" ref="E98:G98" si="28">(E95/E84)*365</f>
        <v>17.714089034088214</v>
      </c>
      <c r="F98" s="8">
        <f t="shared" si="28"/>
        <v>25.548528695634314</v>
      </c>
      <c r="G98" s="8">
        <f t="shared" si="28"/>
        <v>34.957023648371283</v>
      </c>
      <c r="H98" s="8"/>
    </row>
    <row r="99" spans="1:8" x14ac:dyDescent="0.3">
      <c r="A99" s="12" t="s">
        <v>109</v>
      </c>
      <c r="B99" s="11" t="s">
        <v>108</v>
      </c>
      <c r="C99" s="8">
        <f>C96+C97-C98</f>
        <v>21.020244057179887</v>
      </c>
      <c r="D99" s="8">
        <f t="shared" ref="D99:G99" si="29">D96+D97-D98</f>
        <v>24.548467322886115</v>
      </c>
      <c r="E99" s="8">
        <f t="shared" si="29"/>
        <v>18.444949306967349</v>
      </c>
      <c r="F99" s="8">
        <f t="shared" si="29"/>
        <v>13.082026706952423</v>
      </c>
      <c r="G99" s="8">
        <f t="shared" si="29"/>
        <v>17.27202780556707</v>
      </c>
      <c r="H99" s="8"/>
    </row>
    <row r="100" spans="1:8" x14ac:dyDescent="0.3">
      <c r="A100" s="14"/>
      <c r="B100" s="2"/>
      <c r="C100" s="2"/>
      <c r="D100" s="2"/>
      <c r="E100" s="2"/>
      <c r="F100" s="2"/>
      <c r="G100" s="2"/>
      <c r="H100" s="2"/>
    </row>
    <row r="101" spans="1:8" x14ac:dyDescent="0.3">
      <c r="A101" s="26" t="s">
        <v>58</v>
      </c>
      <c r="B101" s="26"/>
      <c r="C101" s="26"/>
      <c r="D101" s="26"/>
      <c r="E101" s="26"/>
      <c r="F101" s="26"/>
      <c r="G101" s="26"/>
      <c r="H101" s="26"/>
    </row>
    <row r="102" spans="1:8" x14ac:dyDescent="0.3">
      <c r="A102" s="11" t="s">
        <v>10</v>
      </c>
      <c r="B102" s="1"/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12</v>
      </c>
    </row>
    <row r="103" spans="1:8" x14ac:dyDescent="0.3">
      <c r="A103" s="12" t="s">
        <v>8</v>
      </c>
      <c r="B103" s="3"/>
      <c r="C103" s="6">
        <v>50982.03</v>
      </c>
      <c r="D103" s="6">
        <v>52729.33</v>
      </c>
      <c r="E103" s="6">
        <v>59899.35</v>
      </c>
      <c r="F103" s="6">
        <v>43168.57</v>
      </c>
      <c r="G103" s="6">
        <v>26022.9</v>
      </c>
      <c r="H103" s="7">
        <v>35452</v>
      </c>
    </row>
    <row r="104" spans="1:8" x14ac:dyDescent="0.3">
      <c r="A104" s="12" t="s">
        <v>11</v>
      </c>
      <c r="B104" s="3"/>
      <c r="C104" s="6">
        <v>44297.87</v>
      </c>
      <c r="D104" s="6">
        <v>46464.11</v>
      </c>
      <c r="E104" s="6">
        <v>53952.35</v>
      </c>
      <c r="F104" s="6">
        <v>37077.47</v>
      </c>
      <c r="G104" s="6">
        <v>20681.5</v>
      </c>
      <c r="H104" s="7">
        <v>30495.94</v>
      </c>
    </row>
    <row r="105" spans="1:8" x14ac:dyDescent="0.3">
      <c r="A105" s="12" t="s">
        <v>28</v>
      </c>
      <c r="B105" s="2"/>
      <c r="C105" s="7">
        <v>15202.59</v>
      </c>
      <c r="D105" s="7">
        <v>12894.1</v>
      </c>
      <c r="E105" s="7">
        <v>11846.97</v>
      </c>
      <c r="F105" s="7">
        <v>8715.32</v>
      </c>
      <c r="G105" s="7">
        <v>8161.8</v>
      </c>
      <c r="H105" s="7">
        <v>7048.82</v>
      </c>
    </row>
    <row r="106" spans="1:8" x14ac:dyDescent="0.3">
      <c r="A106" s="12" t="s">
        <v>5</v>
      </c>
      <c r="B106" s="1"/>
      <c r="C106" s="6">
        <v>1204.42</v>
      </c>
      <c r="D106" s="6">
        <v>1465.44</v>
      </c>
      <c r="E106" s="6">
        <v>1153.05</v>
      </c>
      <c r="F106" s="6">
        <v>576.67999999999995</v>
      </c>
      <c r="G106" s="6">
        <v>337.18</v>
      </c>
      <c r="H106" s="6">
        <v>480.89</v>
      </c>
    </row>
    <row r="107" spans="1:8" x14ac:dyDescent="0.3">
      <c r="A107" s="12" t="s">
        <v>6</v>
      </c>
      <c r="B107" s="1"/>
      <c r="C107" s="6">
        <v>3266.89</v>
      </c>
      <c r="D107" s="6">
        <v>3626.08</v>
      </c>
      <c r="E107" s="6">
        <v>3839.7</v>
      </c>
      <c r="F107" s="6">
        <v>2684.44</v>
      </c>
      <c r="G107" s="6">
        <v>1874.53</v>
      </c>
      <c r="H107" s="6">
        <v>1602.57</v>
      </c>
    </row>
    <row r="108" spans="1:8" x14ac:dyDescent="0.3">
      <c r="A108" s="12" t="s">
        <v>29</v>
      </c>
      <c r="B108" s="2"/>
      <c r="C108" s="7">
        <v>4060.1</v>
      </c>
      <c r="D108" s="7">
        <v>4158.2</v>
      </c>
      <c r="E108" s="7">
        <v>2900.4</v>
      </c>
      <c r="F108" s="7">
        <v>2736.74</v>
      </c>
      <c r="G108" s="7">
        <v>2074.44</v>
      </c>
      <c r="H108" s="7">
        <v>2423.61</v>
      </c>
    </row>
    <row r="109" spans="1:8" x14ac:dyDescent="0.3">
      <c r="A109" s="12" t="s">
        <v>7</v>
      </c>
      <c r="B109" s="1"/>
      <c r="C109" s="6">
        <v>2563.04</v>
      </c>
      <c r="D109" s="6">
        <v>2864.95</v>
      </c>
      <c r="E109" s="6">
        <v>1644.39</v>
      </c>
      <c r="F109" s="6">
        <v>1526.83</v>
      </c>
      <c r="G109" s="6">
        <v>1035.45</v>
      </c>
      <c r="H109" s="7">
        <v>1166.07</v>
      </c>
    </row>
    <row r="110" spans="1:8" x14ac:dyDescent="0.3">
      <c r="A110" s="12"/>
      <c r="B110" s="1"/>
      <c r="C110" s="8"/>
      <c r="D110" s="8"/>
      <c r="E110" s="8"/>
      <c r="F110" s="8"/>
      <c r="G110" s="8"/>
      <c r="H110" s="8"/>
    </row>
    <row r="111" spans="1:8" x14ac:dyDescent="0.3">
      <c r="A111" s="4" t="s">
        <v>93</v>
      </c>
      <c r="B111" s="1"/>
      <c r="C111" s="8"/>
      <c r="D111" s="8"/>
      <c r="E111" s="8"/>
      <c r="F111" s="8"/>
      <c r="G111" s="8"/>
      <c r="H111" s="8"/>
    </row>
    <row r="112" spans="1:8" x14ac:dyDescent="0.3">
      <c r="A112" s="12" t="s">
        <v>94</v>
      </c>
      <c r="B112" s="11" t="s">
        <v>95</v>
      </c>
      <c r="C112" s="8">
        <f>C105-C108</f>
        <v>11142.49</v>
      </c>
      <c r="D112" s="8">
        <f t="shared" ref="D112:G112" si="30">D105-D108</f>
        <v>8735.9000000000015</v>
      </c>
      <c r="E112" s="8">
        <f t="shared" si="30"/>
        <v>8946.57</v>
      </c>
      <c r="F112" s="8">
        <f t="shared" si="30"/>
        <v>5978.58</v>
      </c>
      <c r="G112" s="8">
        <f t="shared" si="30"/>
        <v>6087.3600000000006</v>
      </c>
      <c r="H112" s="8">
        <f>H105-H108</f>
        <v>4625.2099999999991</v>
      </c>
    </row>
    <row r="113" spans="1:8" x14ac:dyDescent="0.3">
      <c r="A113" s="12" t="s">
        <v>96</v>
      </c>
      <c r="B113" s="11" t="s">
        <v>103</v>
      </c>
      <c r="C113" s="8">
        <f>(C106+D106)/2</f>
        <v>1334.93</v>
      </c>
      <c r="D113" s="8">
        <f>(D106+E106)/2</f>
        <v>1309.2449999999999</v>
      </c>
      <c r="E113" s="8">
        <f>(E106+F106)/2</f>
        <v>864.86500000000001</v>
      </c>
      <c r="F113" s="8">
        <f>(F106+G106)/2</f>
        <v>456.92999999999995</v>
      </c>
      <c r="G113" s="8">
        <f>(G106+H106)/2</f>
        <v>409.03499999999997</v>
      </c>
      <c r="H113" s="8"/>
    </row>
    <row r="114" spans="1:8" x14ac:dyDescent="0.3">
      <c r="A114" s="12" t="s">
        <v>97</v>
      </c>
      <c r="B114" s="11" t="s">
        <v>104</v>
      </c>
      <c r="C114" s="2">
        <f>(C107+D107)/2</f>
        <v>3446.4849999999997</v>
      </c>
      <c r="D114" s="2">
        <f t="shared" ref="D114:G114" si="31">(D107+E107)/2</f>
        <v>3732.89</v>
      </c>
      <c r="E114" s="2">
        <f t="shared" si="31"/>
        <v>3262.0699999999997</v>
      </c>
      <c r="F114" s="2">
        <f t="shared" si="31"/>
        <v>2279.4850000000001</v>
      </c>
      <c r="G114" s="2">
        <f t="shared" si="31"/>
        <v>1738.55</v>
      </c>
    </row>
    <row r="115" spans="1:8" x14ac:dyDescent="0.3">
      <c r="A115" s="12" t="s">
        <v>98</v>
      </c>
      <c r="B115" s="11" t="s">
        <v>102</v>
      </c>
      <c r="C115" s="8">
        <f>(C109+D109)/2</f>
        <v>2713.9949999999999</v>
      </c>
      <c r="D115" s="8">
        <f t="shared" ref="D115:G115" si="32">(D109+E109)/2</f>
        <v>2254.67</v>
      </c>
      <c r="E115" s="8">
        <f t="shared" si="32"/>
        <v>1585.6100000000001</v>
      </c>
      <c r="F115" s="8">
        <f t="shared" si="32"/>
        <v>1281.1399999999999</v>
      </c>
      <c r="G115" s="8">
        <f t="shared" si="32"/>
        <v>1100.76</v>
      </c>
      <c r="H115" s="8"/>
    </row>
    <row r="116" spans="1:8" x14ac:dyDescent="0.3">
      <c r="A116" s="12" t="s">
        <v>105</v>
      </c>
      <c r="B116" s="11" t="s">
        <v>99</v>
      </c>
      <c r="C116" s="8">
        <f>(C113/C104)*365</f>
        <v>10.999387780947481</v>
      </c>
      <c r="D116" s="8">
        <f t="shared" ref="D116:F116" si="33">(D113/D104)*365</f>
        <v>10.284807456766092</v>
      </c>
      <c r="E116" s="8">
        <f t="shared" si="33"/>
        <v>5.8510097335889917</v>
      </c>
      <c r="F116" s="8">
        <f t="shared" si="33"/>
        <v>4.4981345814587668</v>
      </c>
      <c r="G116" s="8">
        <f>(G113/G104)*365</f>
        <v>7.2189045765539248</v>
      </c>
      <c r="H116" s="8"/>
    </row>
    <row r="117" spans="1:8" x14ac:dyDescent="0.3">
      <c r="A117" s="12" t="s">
        <v>106</v>
      </c>
      <c r="B117" s="11" t="s">
        <v>100</v>
      </c>
      <c r="C117" s="8">
        <f>(C114/C103)*365</f>
        <v>24.674714306197693</v>
      </c>
      <c r="D117" s="8">
        <f>(D114/D103)*365</f>
        <v>25.839601034187236</v>
      </c>
      <c r="E117" s="8">
        <f>(E114/E103)*365</f>
        <v>19.877603847120209</v>
      </c>
      <c r="F117" s="8">
        <f>(F114/F103)*365</f>
        <v>19.273560022951884</v>
      </c>
      <c r="G117" s="8">
        <f>(G114/G103)*365</f>
        <v>24.385089671020523</v>
      </c>
      <c r="H117" s="8"/>
    </row>
    <row r="118" spans="1:8" x14ac:dyDescent="0.3">
      <c r="A118" s="12" t="s">
        <v>107</v>
      </c>
      <c r="B118" s="11" t="s">
        <v>101</v>
      </c>
      <c r="C118" s="8">
        <f>(C115/C104)*365</f>
        <v>22.362433566218868</v>
      </c>
      <c r="D118" s="8">
        <f>(D115/D104)*365</f>
        <v>17.711617633480984</v>
      </c>
      <c r="E118" s="8">
        <f t="shared" ref="E118:G118" si="34">(E115/E104)*365</f>
        <v>10.727014671279379</v>
      </c>
      <c r="F118" s="8">
        <f t="shared" si="34"/>
        <v>12.611866451513546</v>
      </c>
      <c r="G118" s="8">
        <f t="shared" si="34"/>
        <v>19.426898435800112</v>
      </c>
      <c r="H118" s="8"/>
    </row>
    <row r="119" spans="1:8" x14ac:dyDescent="0.3">
      <c r="A119" s="12" t="s">
        <v>109</v>
      </c>
      <c r="B119" s="11" t="s">
        <v>108</v>
      </c>
      <c r="C119" s="8">
        <f>C116+C117-C118</f>
        <v>13.311668520926304</v>
      </c>
      <c r="D119" s="8">
        <f t="shared" ref="D119:G119" si="35">D116+D117-D118</f>
        <v>18.412790857472345</v>
      </c>
      <c r="E119" s="8">
        <f t="shared" si="35"/>
        <v>15.001598909429822</v>
      </c>
      <c r="F119" s="8">
        <f t="shared" si="35"/>
        <v>11.159828152897106</v>
      </c>
      <c r="G119" s="8">
        <f t="shared" si="35"/>
        <v>12.177095811774336</v>
      </c>
      <c r="H119" s="8"/>
    </row>
    <row r="120" spans="1:8" x14ac:dyDescent="0.3">
      <c r="A120" s="12"/>
      <c r="B120" s="1"/>
      <c r="C120" s="8"/>
      <c r="D120" s="8"/>
      <c r="E120" s="8"/>
      <c r="F120" s="8"/>
      <c r="G120" s="8"/>
      <c r="H120" s="8"/>
    </row>
    <row r="121" spans="1:8" x14ac:dyDescent="0.3">
      <c r="A121" s="26" t="s">
        <v>60</v>
      </c>
      <c r="B121" s="26"/>
      <c r="C121" s="26"/>
      <c r="D121" s="26"/>
      <c r="E121" s="26"/>
      <c r="F121" s="26"/>
      <c r="G121" s="26"/>
      <c r="H121" s="26"/>
    </row>
    <row r="122" spans="1:8" x14ac:dyDescent="0.3">
      <c r="A122" s="11" t="s">
        <v>10</v>
      </c>
      <c r="B122" s="1"/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12</v>
      </c>
    </row>
    <row r="123" spans="1:8" x14ac:dyDescent="0.3">
      <c r="A123" s="12" t="s">
        <v>8</v>
      </c>
      <c r="B123" s="3"/>
      <c r="C123" s="6">
        <v>6518.75</v>
      </c>
      <c r="D123" s="6">
        <v>3143.79</v>
      </c>
      <c r="E123" s="6">
        <v>1428.53</v>
      </c>
      <c r="F123" s="6">
        <v>747.84</v>
      </c>
      <c r="G123" s="6">
        <v>684.52</v>
      </c>
      <c r="H123" s="7">
        <v>643.26</v>
      </c>
    </row>
    <row r="124" spans="1:8" x14ac:dyDescent="0.3">
      <c r="A124" s="12" t="s">
        <v>11</v>
      </c>
      <c r="B124" s="3"/>
      <c r="C124" s="6">
        <v>4089.0899999999997</v>
      </c>
      <c r="D124" s="6">
        <v>2390.9699999999998</v>
      </c>
      <c r="E124" s="6">
        <v>1198.5399999999997</v>
      </c>
      <c r="F124" s="6">
        <v>671.77999999999986</v>
      </c>
      <c r="G124" s="6">
        <v>560.27</v>
      </c>
      <c r="H124" s="7">
        <f>516.31+17.62+28.23-26.13</f>
        <v>536.03</v>
      </c>
    </row>
    <row r="125" spans="1:8" x14ac:dyDescent="0.3">
      <c r="A125" s="12" t="s">
        <v>28</v>
      </c>
      <c r="B125" s="2"/>
      <c r="C125" s="7">
        <v>5232.96</v>
      </c>
      <c r="D125" s="7">
        <v>2181.85</v>
      </c>
      <c r="E125" s="7">
        <v>1055.74</v>
      </c>
      <c r="F125" s="7">
        <v>443.24</v>
      </c>
      <c r="G125" s="7">
        <v>409.63</v>
      </c>
      <c r="H125" s="7">
        <v>355.95</v>
      </c>
    </row>
    <row r="126" spans="1:8" x14ac:dyDescent="0.3">
      <c r="A126" s="12" t="s">
        <v>5</v>
      </c>
      <c r="B126" s="1"/>
      <c r="C126" s="6">
        <v>1325.64</v>
      </c>
      <c r="D126" s="6">
        <v>1009.33</v>
      </c>
      <c r="E126" s="6">
        <v>632.86</v>
      </c>
      <c r="F126" s="6">
        <v>108.04</v>
      </c>
      <c r="G126" s="6">
        <v>108.32</v>
      </c>
      <c r="H126" s="6">
        <v>109.25</v>
      </c>
    </row>
    <row r="127" spans="1:8" x14ac:dyDescent="0.3">
      <c r="A127" s="12" t="s">
        <v>6</v>
      </c>
      <c r="B127" s="1"/>
      <c r="C127" s="6">
        <v>800.94</v>
      </c>
      <c r="D127" s="6">
        <v>608.98</v>
      </c>
      <c r="E127" s="6">
        <v>59.46</v>
      </c>
      <c r="F127" s="6">
        <v>130.83000000000001</v>
      </c>
      <c r="G127" s="6">
        <v>165.76</v>
      </c>
      <c r="H127" s="6">
        <v>137.49</v>
      </c>
    </row>
    <row r="128" spans="1:8" x14ac:dyDescent="0.3">
      <c r="A128" s="12" t="s">
        <v>29</v>
      </c>
      <c r="B128" s="2"/>
      <c r="C128" s="7">
        <v>2783.44</v>
      </c>
      <c r="D128" s="7">
        <v>1885.91</v>
      </c>
      <c r="E128" s="7">
        <v>1037.43</v>
      </c>
      <c r="F128" s="6">
        <v>264.74</v>
      </c>
      <c r="G128" s="6">
        <v>309.60000000000002</v>
      </c>
      <c r="H128" s="7">
        <v>237.09</v>
      </c>
    </row>
    <row r="129" spans="1:8" x14ac:dyDescent="0.3">
      <c r="A129" s="12" t="s">
        <v>7</v>
      </c>
      <c r="B129" s="1"/>
      <c r="C129" s="6">
        <v>964.71</v>
      </c>
      <c r="D129" s="6">
        <v>974.56</v>
      </c>
      <c r="E129" s="6">
        <v>397.92</v>
      </c>
      <c r="F129" s="6">
        <v>202</v>
      </c>
      <c r="G129" s="6">
        <v>160.52000000000001</v>
      </c>
      <c r="H129" s="7">
        <v>134.13999999999999</v>
      </c>
    </row>
    <row r="130" spans="1:8" x14ac:dyDescent="0.3">
      <c r="A130" s="12"/>
      <c r="B130" s="1"/>
      <c r="C130" s="6"/>
      <c r="D130" s="6"/>
      <c r="E130" s="6"/>
      <c r="F130" s="6"/>
      <c r="G130" s="6"/>
      <c r="H130" s="6"/>
    </row>
    <row r="131" spans="1:8" x14ac:dyDescent="0.3">
      <c r="A131" s="4" t="s">
        <v>93</v>
      </c>
      <c r="B131" s="1"/>
      <c r="C131" s="8"/>
      <c r="D131" s="8"/>
      <c r="E131" s="8"/>
      <c r="F131" s="8"/>
      <c r="G131" s="8"/>
      <c r="H131" s="8"/>
    </row>
    <row r="132" spans="1:8" x14ac:dyDescent="0.3">
      <c r="A132" s="12" t="s">
        <v>94</v>
      </c>
      <c r="B132" s="11" t="s">
        <v>95</v>
      </c>
      <c r="C132" s="8">
        <f>C125-C128</f>
        <v>2449.52</v>
      </c>
      <c r="D132" s="8">
        <f t="shared" ref="D132:G132" si="36">D125-D128</f>
        <v>295.93999999999983</v>
      </c>
      <c r="E132" s="8">
        <f t="shared" si="36"/>
        <v>18.309999999999945</v>
      </c>
      <c r="F132" s="8">
        <f t="shared" si="36"/>
        <v>178.5</v>
      </c>
      <c r="G132" s="8">
        <f t="shared" si="36"/>
        <v>100.02999999999997</v>
      </c>
      <c r="H132" s="8">
        <f>H125-H128</f>
        <v>118.85999999999999</v>
      </c>
    </row>
    <row r="133" spans="1:8" x14ac:dyDescent="0.3">
      <c r="A133" s="12" t="s">
        <v>96</v>
      </c>
      <c r="B133" s="11" t="s">
        <v>103</v>
      </c>
      <c r="C133" s="8">
        <f>(C126+D126)/2</f>
        <v>1167.4850000000001</v>
      </c>
      <c r="D133" s="8">
        <f>(D126+E126)/2</f>
        <v>821.09500000000003</v>
      </c>
      <c r="E133" s="8">
        <f>(E126+F126)/2</f>
        <v>370.45</v>
      </c>
      <c r="F133" s="8">
        <f>(F126+G126)/2</f>
        <v>108.18</v>
      </c>
      <c r="G133" s="8">
        <f>(G126+H126)/2</f>
        <v>108.785</v>
      </c>
      <c r="H133" s="8"/>
    </row>
    <row r="134" spans="1:8" x14ac:dyDescent="0.3">
      <c r="A134" s="12" t="s">
        <v>97</v>
      </c>
      <c r="B134" s="11" t="s">
        <v>104</v>
      </c>
      <c r="C134" s="2">
        <f>(C127+D127)/2</f>
        <v>704.96</v>
      </c>
      <c r="D134" s="2">
        <f t="shared" ref="D134:G134" si="37">(D127+E127)/2</f>
        <v>334.22</v>
      </c>
      <c r="E134" s="2">
        <f t="shared" si="37"/>
        <v>95.14500000000001</v>
      </c>
      <c r="F134" s="2">
        <f t="shared" si="37"/>
        <v>148.29500000000002</v>
      </c>
      <c r="G134" s="2">
        <f t="shared" si="37"/>
        <v>151.625</v>
      </c>
    </row>
    <row r="135" spans="1:8" x14ac:dyDescent="0.3">
      <c r="A135" s="12" t="s">
        <v>98</v>
      </c>
      <c r="B135" s="11" t="s">
        <v>102</v>
      </c>
      <c r="C135" s="8">
        <f>(C129+D129)/2</f>
        <v>969.63499999999999</v>
      </c>
      <c r="D135" s="8">
        <f t="shared" ref="D135:G135" si="38">(D129+E129)/2</f>
        <v>686.24</v>
      </c>
      <c r="E135" s="8">
        <f t="shared" si="38"/>
        <v>299.96000000000004</v>
      </c>
      <c r="F135" s="8">
        <f t="shared" si="38"/>
        <v>181.26</v>
      </c>
      <c r="G135" s="8">
        <f t="shared" si="38"/>
        <v>147.32999999999998</v>
      </c>
      <c r="H135" s="8"/>
    </row>
    <row r="136" spans="1:8" x14ac:dyDescent="0.3">
      <c r="A136" s="12" t="s">
        <v>105</v>
      </c>
      <c r="B136" s="11" t="s">
        <v>99</v>
      </c>
      <c r="C136" s="8">
        <f>(C133/C124)*365</f>
        <v>104.21194568962778</v>
      </c>
      <c r="D136" s="8">
        <f t="shared" ref="D136:F136" si="39">(D133/D124)*365</f>
        <v>125.34648071703118</v>
      </c>
      <c r="E136" s="8">
        <f t="shared" si="39"/>
        <v>112.81580089108417</v>
      </c>
      <c r="F136" s="8">
        <f t="shared" si="39"/>
        <v>58.777724850397469</v>
      </c>
      <c r="G136" s="8">
        <f>(G133/G124)*365</f>
        <v>70.870339300694312</v>
      </c>
      <c r="H136" s="8"/>
    </row>
    <row r="137" spans="1:8" x14ac:dyDescent="0.3">
      <c r="A137" s="12" t="s">
        <v>106</v>
      </c>
      <c r="B137" s="11" t="s">
        <v>100</v>
      </c>
      <c r="C137" s="8">
        <f>(C134/C123)*365</f>
        <v>39.472352828379677</v>
      </c>
      <c r="D137" s="8">
        <f>(D134/D123)*365</f>
        <v>38.803577847120835</v>
      </c>
      <c r="E137" s="8">
        <f>(E134/E123)*365</f>
        <v>24.310252497322423</v>
      </c>
      <c r="F137" s="8">
        <f>(F134/F123)*365</f>
        <v>72.378683943089428</v>
      </c>
      <c r="G137" s="8">
        <f>(G134/G123)*365</f>
        <v>80.849536901770591</v>
      </c>
      <c r="H137" s="8"/>
    </row>
    <row r="138" spans="1:8" x14ac:dyDescent="0.3">
      <c r="A138" s="12" t="s">
        <v>107</v>
      </c>
      <c r="B138" s="11" t="s">
        <v>101</v>
      </c>
      <c r="C138" s="8">
        <f>(C135/C124)*365</f>
        <v>86.551476000772794</v>
      </c>
      <c r="D138" s="8">
        <f>(D135/D124)*365</f>
        <v>104.75982551014862</v>
      </c>
      <c r="E138" s="8">
        <f t="shared" ref="E138:G138" si="40">(E135/E124)*365</f>
        <v>91.348974585746035</v>
      </c>
      <c r="F138" s="8">
        <f t="shared" si="40"/>
        <v>98.484474083777442</v>
      </c>
      <c r="G138" s="8">
        <f t="shared" si="40"/>
        <v>95.98131258143394</v>
      </c>
      <c r="H138" s="8"/>
    </row>
    <row r="139" spans="1:8" x14ac:dyDescent="0.3">
      <c r="A139" s="12" t="s">
        <v>109</v>
      </c>
      <c r="B139" s="11" t="s">
        <v>108</v>
      </c>
      <c r="C139" s="8">
        <f>C136+C137-C138</f>
        <v>57.132822517234672</v>
      </c>
      <c r="D139" s="8">
        <f t="shared" ref="D139:G139" si="41">D136+D137-D138</f>
        <v>59.390233054003389</v>
      </c>
      <c r="E139" s="8">
        <f t="shared" si="41"/>
        <v>45.777078802660569</v>
      </c>
      <c r="F139" s="8">
        <f t="shared" si="41"/>
        <v>32.671934709709447</v>
      </c>
      <c r="G139" s="8">
        <f t="shared" si="41"/>
        <v>55.738563621030949</v>
      </c>
      <c r="H139" s="8"/>
    </row>
    <row r="140" spans="1:8" x14ac:dyDescent="0.3">
      <c r="A140" s="12"/>
      <c r="B140" s="1"/>
      <c r="C140" s="6"/>
      <c r="D140" s="6"/>
      <c r="E140" s="6"/>
      <c r="F140" s="6"/>
      <c r="G140" s="6"/>
      <c r="H140" s="6"/>
    </row>
    <row r="141" spans="1:8" x14ac:dyDescent="0.3">
      <c r="A141" s="26" t="s">
        <v>41</v>
      </c>
      <c r="B141" s="26"/>
      <c r="C141" s="26"/>
      <c r="D141" s="26"/>
      <c r="E141" s="26"/>
      <c r="F141" s="26"/>
      <c r="G141" s="26"/>
      <c r="H141" s="26"/>
    </row>
    <row r="142" spans="1:8" x14ac:dyDescent="0.3">
      <c r="A142" s="11" t="s">
        <v>10</v>
      </c>
      <c r="B142" s="1"/>
      <c r="C142" s="1" t="s">
        <v>0</v>
      </c>
      <c r="D142" s="1" t="s">
        <v>1</v>
      </c>
      <c r="E142" s="1" t="s">
        <v>2</v>
      </c>
      <c r="F142" s="1" t="s">
        <v>3</v>
      </c>
      <c r="G142" s="1" t="s">
        <v>4</v>
      </c>
      <c r="H142" s="1" t="s">
        <v>12</v>
      </c>
    </row>
    <row r="143" spans="1:8" x14ac:dyDescent="0.3">
      <c r="A143" s="12" t="s">
        <v>8</v>
      </c>
      <c r="B143" s="3"/>
      <c r="C143" s="5">
        <v>5462.19</v>
      </c>
      <c r="D143" s="5">
        <v>6762.78</v>
      </c>
      <c r="E143" s="5">
        <v>5786.67</v>
      </c>
      <c r="F143" s="5">
        <v>4624.55</v>
      </c>
      <c r="G143" s="5">
        <v>3301.71</v>
      </c>
      <c r="H143" s="5">
        <v>3283.65</v>
      </c>
    </row>
    <row r="144" spans="1:8" x14ac:dyDescent="0.3">
      <c r="A144" s="12" t="s">
        <v>11</v>
      </c>
      <c r="B144" s="3"/>
      <c r="C144" s="6">
        <v>3250.23</v>
      </c>
      <c r="D144" s="6">
        <v>4238.88</v>
      </c>
      <c r="E144" s="6">
        <v>4377.5600000000004</v>
      </c>
      <c r="F144" s="6">
        <v>3306.18</v>
      </c>
      <c r="G144" s="6">
        <v>1945.05</v>
      </c>
      <c r="H144" s="6">
        <v>2185.81</v>
      </c>
    </row>
    <row r="145" spans="1:8" x14ac:dyDescent="0.3">
      <c r="A145" s="12" t="s">
        <v>28</v>
      </c>
      <c r="B145" s="4"/>
      <c r="C145" s="6">
        <v>3817.39</v>
      </c>
      <c r="D145" s="6">
        <v>3254.36</v>
      </c>
      <c r="E145" s="6">
        <v>3068.18</v>
      </c>
      <c r="F145" s="6">
        <v>2504.1799999999998</v>
      </c>
      <c r="G145" s="6">
        <v>1610.02</v>
      </c>
      <c r="H145" s="6">
        <v>1396.2</v>
      </c>
    </row>
    <row r="146" spans="1:8" x14ac:dyDescent="0.3">
      <c r="A146" s="12" t="s">
        <v>5</v>
      </c>
      <c r="B146" s="1"/>
      <c r="C146" s="6">
        <v>582.54</v>
      </c>
      <c r="D146" s="6">
        <v>523.54999999999995</v>
      </c>
      <c r="E146" s="6">
        <v>712.19</v>
      </c>
      <c r="F146" s="6">
        <v>518.70000000000005</v>
      </c>
      <c r="G146" s="6">
        <v>199.94</v>
      </c>
      <c r="H146" s="6">
        <v>342.3</v>
      </c>
    </row>
    <row r="147" spans="1:8" x14ac:dyDescent="0.3">
      <c r="A147" s="12" t="s">
        <v>6</v>
      </c>
      <c r="B147" s="1"/>
      <c r="C147" s="6">
        <v>943.23</v>
      </c>
      <c r="D147" s="6">
        <v>1186.3900000000001</v>
      </c>
      <c r="E147" s="6">
        <v>1167.26</v>
      </c>
      <c r="F147" s="6">
        <v>930.21</v>
      </c>
      <c r="G147" s="6">
        <v>790.91</v>
      </c>
      <c r="H147" s="6">
        <v>401.2</v>
      </c>
    </row>
    <row r="148" spans="1:8" x14ac:dyDescent="0.3">
      <c r="A148" s="12" t="s">
        <v>29</v>
      </c>
      <c r="B148" s="4"/>
      <c r="C148" s="6">
        <v>1582.45</v>
      </c>
      <c r="D148" s="6">
        <v>1787.67</v>
      </c>
      <c r="E148" s="6">
        <v>2583.84</v>
      </c>
      <c r="F148" s="6">
        <v>2171.4</v>
      </c>
      <c r="G148" s="6">
        <v>1578.29</v>
      </c>
      <c r="H148" s="6">
        <v>2117.75</v>
      </c>
    </row>
    <row r="149" spans="1:8" x14ac:dyDescent="0.3">
      <c r="A149" s="12" t="s">
        <v>7</v>
      </c>
      <c r="B149" s="1"/>
      <c r="C149" s="6">
        <v>221.47</v>
      </c>
      <c r="D149" s="6">
        <v>361.7</v>
      </c>
      <c r="E149" s="6">
        <v>419.54</v>
      </c>
      <c r="F149" s="6">
        <v>331.46</v>
      </c>
      <c r="G149" s="6">
        <v>226.07</v>
      </c>
      <c r="H149" s="6">
        <v>223.09</v>
      </c>
    </row>
    <row r="150" spans="1:8" x14ac:dyDescent="0.3">
      <c r="A150" s="12"/>
      <c r="B150" s="1"/>
      <c r="C150" s="6"/>
      <c r="D150" s="6"/>
      <c r="E150" s="6"/>
      <c r="F150" s="6"/>
      <c r="G150" s="6"/>
      <c r="H150" s="7"/>
    </row>
    <row r="151" spans="1:8" x14ac:dyDescent="0.3">
      <c r="A151" s="4" t="s">
        <v>93</v>
      </c>
      <c r="B151" s="1"/>
      <c r="C151" s="8"/>
      <c r="D151" s="8"/>
      <c r="E151" s="8"/>
      <c r="F151" s="8"/>
      <c r="G151" s="8"/>
      <c r="H151" s="8"/>
    </row>
    <row r="152" spans="1:8" x14ac:dyDescent="0.3">
      <c r="A152" s="12" t="s">
        <v>94</v>
      </c>
      <c r="B152" s="11" t="s">
        <v>95</v>
      </c>
      <c r="C152" s="8">
        <f>C145-C148</f>
        <v>2234.9399999999996</v>
      </c>
      <c r="D152" s="8">
        <f t="shared" ref="D152:G152" si="42">D145-D148</f>
        <v>1466.69</v>
      </c>
      <c r="E152" s="8">
        <f t="shared" si="42"/>
        <v>484.33999999999969</v>
      </c>
      <c r="F152" s="8">
        <f t="shared" si="42"/>
        <v>332.77999999999975</v>
      </c>
      <c r="G152" s="8">
        <f t="shared" si="42"/>
        <v>31.730000000000018</v>
      </c>
      <c r="H152" s="8">
        <f>H145-H148</f>
        <v>-721.55</v>
      </c>
    </row>
    <row r="153" spans="1:8" x14ac:dyDescent="0.3">
      <c r="A153" s="12" t="s">
        <v>96</v>
      </c>
      <c r="B153" s="11" t="s">
        <v>103</v>
      </c>
      <c r="C153" s="8">
        <f>(C146+D146)/2</f>
        <v>553.04499999999996</v>
      </c>
      <c r="D153" s="8">
        <f>(D146+E146)/2</f>
        <v>617.87</v>
      </c>
      <c r="E153" s="8">
        <f>(E146+F146)/2</f>
        <v>615.44500000000005</v>
      </c>
      <c r="F153" s="8">
        <f>(F146+G146)/2</f>
        <v>359.32000000000005</v>
      </c>
      <c r="G153" s="8">
        <f>(G146+H146)/2</f>
        <v>271.12</v>
      </c>
      <c r="H153" s="8"/>
    </row>
    <row r="154" spans="1:8" x14ac:dyDescent="0.3">
      <c r="A154" s="12" t="s">
        <v>97</v>
      </c>
      <c r="B154" s="11" t="s">
        <v>104</v>
      </c>
      <c r="C154" s="2">
        <f>(C147+D147)/2</f>
        <v>1064.81</v>
      </c>
      <c r="D154" s="2">
        <f t="shared" ref="D154:G154" si="43">(D147+E147)/2</f>
        <v>1176.825</v>
      </c>
      <c r="E154" s="2">
        <f t="shared" si="43"/>
        <v>1048.7350000000001</v>
      </c>
      <c r="F154" s="2">
        <f t="shared" si="43"/>
        <v>860.56</v>
      </c>
      <c r="G154" s="2">
        <f t="shared" si="43"/>
        <v>596.05499999999995</v>
      </c>
    </row>
    <row r="155" spans="1:8" x14ac:dyDescent="0.3">
      <c r="A155" s="12" t="s">
        <v>98</v>
      </c>
      <c r="B155" s="11" t="s">
        <v>102</v>
      </c>
      <c r="C155" s="8">
        <f>(C149+D149)/2</f>
        <v>291.58499999999998</v>
      </c>
      <c r="D155" s="8">
        <f t="shared" ref="D155:G155" si="44">(D149+E149)/2</f>
        <v>390.62</v>
      </c>
      <c r="E155" s="8">
        <f t="shared" si="44"/>
        <v>375.5</v>
      </c>
      <c r="F155" s="8">
        <f t="shared" si="44"/>
        <v>278.76499999999999</v>
      </c>
      <c r="G155" s="8">
        <f t="shared" si="44"/>
        <v>224.57999999999998</v>
      </c>
      <c r="H155" s="8"/>
    </row>
    <row r="156" spans="1:8" x14ac:dyDescent="0.3">
      <c r="A156" s="12" t="s">
        <v>105</v>
      </c>
      <c r="B156" s="11" t="s">
        <v>99</v>
      </c>
      <c r="C156" s="8">
        <f>(C153/C144)*365</f>
        <v>62.106812440965712</v>
      </c>
      <c r="D156" s="8">
        <f t="shared" ref="D156:F156" si="45">(D153/D144)*365</f>
        <v>53.203334371343374</v>
      </c>
      <c r="E156" s="8">
        <f t="shared" si="45"/>
        <v>51.315670145012284</v>
      </c>
      <c r="F156" s="8">
        <f t="shared" si="45"/>
        <v>39.668681076045473</v>
      </c>
      <c r="G156" s="8">
        <f>(G153/G144)*365</f>
        <v>50.877252512788878</v>
      </c>
      <c r="H156" s="8"/>
    </row>
    <row r="157" spans="1:8" x14ac:dyDescent="0.3">
      <c r="A157" s="12" t="s">
        <v>106</v>
      </c>
      <c r="B157" s="11" t="s">
        <v>100</v>
      </c>
      <c r="C157" s="8">
        <f>(C154/C143)*365</f>
        <v>71.153813763344004</v>
      </c>
      <c r="D157" s="8">
        <f>(D154/D143)*365</f>
        <v>63.515466272745826</v>
      </c>
      <c r="E157" s="8">
        <f>(E154/E143)*365</f>
        <v>66.150009418197342</v>
      </c>
      <c r="F157" s="8">
        <f>(F154/F143)*365</f>
        <v>67.921073401736379</v>
      </c>
      <c r="G157" s="8">
        <f>(G154/G143)*365</f>
        <v>65.893150821846859</v>
      </c>
      <c r="H157" s="8"/>
    </row>
    <row r="158" spans="1:8" x14ac:dyDescent="0.3">
      <c r="A158" s="12" t="s">
        <v>107</v>
      </c>
      <c r="B158" s="11" t="s">
        <v>101</v>
      </c>
      <c r="C158" s="8">
        <f>(C155/C144)*365</f>
        <v>32.744921128658582</v>
      </c>
      <c r="D158" s="8">
        <f>(D155/D144)*365</f>
        <v>33.635370663948969</v>
      </c>
      <c r="E158" s="8">
        <f t="shared" ref="E158:G158" si="46">(E155/E144)*365</f>
        <v>31.309108270360653</v>
      </c>
      <c r="F158" s="8">
        <f t="shared" si="46"/>
        <v>30.775464433273445</v>
      </c>
      <c r="G158" s="8">
        <f t="shared" si="46"/>
        <v>42.143749518007247</v>
      </c>
      <c r="H158" s="8"/>
    </row>
    <row r="159" spans="1:8" x14ac:dyDescent="0.3">
      <c r="A159" s="12" t="s">
        <v>109</v>
      </c>
      <c r="B159" s="11" t="s">
        <v>108</v>
      </c>
      <c r="C159" s="8">
        <f>C156+C157-C158</f>
        <v>100.51570507565114</v>
      </c>
      <c r="D159" s="8">
        <f t="shared" ref="D159:G159" si="47">D156+D157-D158</f>
        <v>83.083429980140238</v>
      </c>
      <c r="E159" s="8">
        <f t="shared" si="47"/>
        <v>86.156571292848966</v>
      </c>
      <c r="F159" s="8">
        <f t="shared" si="47"/>
        <v>76.814290044508411</v>
      </c>
      <c r="G159" s="8">
        <f t="shared" si="47"/>
        <v>74.626653816628505</v>
      </c>
      <c r="H159" s="8"/>
    </row>
    <row r="160" spans="1:8" x14ac:dyDescent="0.3">
      <c r="A160" s="14"/>
      <c r="B160" s="2"/>
      <c r="C160" s="2"/>
      <c r="D160" s="2"/>
      <c r="E160" s="2"/>
      <c r="F160" s="2"/>
      <c r="G160" s="2"/>
      <c r="H160" s="2"/>
    </row>
    <row r="161" spans="1:8" x14ac:dyDescent="0.3">
      <c r="A161" s="26" t="s">
        <v>42</v>
      </c>
      <c r="B161" s="26"/>
      <c r="C161" s="26"/>
      <c r="D161" s="26"/>
      <c r="E161" s="26"/>
      <c r="F161" s="26"/>
      <c r="G161" s="26"/>
      <c r="H161" s="26"/>
    </row>
    <row r="162" spans="1:8" x14ac:dyDescent="0.3">
      <c r="A162" s="11" t="s">
        <v>10</v>
      </c>
      <c r="B162" s="1"/>
      <c r="C162" s="1" t="s">
        <v>0</v>
      </c>
      <c r="D162" s="1" t="s">
        <v>1</v>
      </c>
      <c r="E162" s="1" t="s">
        <v>2</v>
      </c>
      <c r="F162" s="1" t="s">
        <v>3</v>
      </c>
      <c r="G162" s="1" t="s">
        <v>4</v>
      </c>
      <c r="H162" s="1" t="s">
        <v>12</v>
      </c>
    </row>
    <row r="163" spans="1:8" x14ac:dyDescent="0.3">
      <c r="A163" s="12" t="s">
        <v>8</v>
      </c>
      <c r="B163" s="3"/>
      <c r="C163" s="6">
        <v>5307.75</v>
      </c>
      <c r="D163" s="6">
        <v>4076.52</v>
      </c>
      <c r="E163" s="6">
        <v>3152.16</v>
      </c>
      <c r="F163" s="6">
        <v>2350.02</v>
      </c>
      <c r="G163" s="6">
        <v>2172.42</v>
      </c>
      <c r="H163" s="7">
        <v>1880.62</v>
      </c>
    </row>
    <row r="164" spans="1:8" x14ac:dyDescent="0.3">
      <c r="A164" s="12" t="s">
        <v>11</v>
      </c>
      <c r="B164" s="3"/>
      <c r="C164" s="7">
        <v>3470.4600000000005</v>
      </c>
      <c r="D164" s="7">
        <v>2707.9700000000003</v>
      </c>
      <c r="E164" s="7">
        <v>2160.36</v>
      </c>
      <c r="F164" s="7">
        <v>1542.2</v>
      </c>
      <c r="G164" s="7">
        <v>1419.9099999999999</v>
      </c>
      <c r="H164" s="7">
        <f>960.28+263.26-38.8</f>
        <v>1184.74</v>
      </c>
    </row>
    <row r="165" spans="1:8" x14ac:dyDescent="0.3">
      <c r="A165" s="12" t="s">
        <v>28</v>
      </c>
      <c r="B165" s="3"/>
      <c r="C165" s="7">
        <v>5550.96</v>
      </c>
      <c r="D165" s="7">
        <v>4131.78</v>
      </c>
      <c r="E165" s="7">
        <v>2946.34</v>
      </c>
      <c r="F165" s="7">
        <v>2393.7199999999998</v>
      </c>
      <c r="G165" s="7">
        <v>1729.66</v>
      </c>
      <c r="H165" s="7">
        <v>1637.96</v>
      </c>
    </row>
    <row r="166" spans="1:8" x14ac:dyDescent="0.3">
      <c r="A166" s="12" t="s">
        <v>5</v>
      </c>
      <c r="B166" s="1"/>
      <c r="C166" s="6">
        <v>539.03</v>
      </c>
      <c r="D166" s="6">
        <v>378.27</v>
      </c>
      <c r="E166" s="6">
        <v>311</v>
      </c>
      <c r="F166" s="6">
        <v>278.49</v>
      </c>
      <c r="G166" s="6">
        <v>232.46</v>
      </c>
      <c r="H166" s="7">
        <v>268.99</v>
      </c>
    </row>
    <row r="167" spans="1:8" x14ac:dyDescent="0.3">
      <c r="A167" s="12" t="s">
        <v>6</v>
      </c>
      <c r="B167" s="1"/>
      <c r="C167" s="6">
        <v>1317.14</v>
      </c>
      <c r="D167" s="6">
        <v>1026.1400000000001</v>
      </c>
      <c r="E167" s="6">
        <v>644.9</v>
      </c>
      <c r="F167" s="6">
        <v>639.74</v>
      </c>
      <c r="G167" s="6">
        <v>490.97</v>
      </c>
      <c r="H167" s="6">
        <v>479.53</v>
      </c>
    </row>
    <row r="168" spans="1:8" x14ac:dyDescent="0.3">
      <c r="A168" s="12" t="s">
        <v>29</v>
      </c>
      <c r="B168" s="3"/>
      <c r="C168" s="7">
        <v>4234.1899999999996</v>
      </c>
      <c r="D168" s="7">
        <v>3321.24</v>
      </c>
      <c r="E168" s="7">
        <v>2484.46</v>
      </c>
      <c r="F168" s="7">
        <v>1999.76</v>
      </c>
      <c r="G168" s="7">
        <v>1404.64</v>
      </c>
      <c r="H168" s="7">
        <v>1414.9</v>
      </c>
    </row>
    <row r="169" spans="1:8" x14ac:dyDescent="0.3">
      <c r="A169" s="12" t="s">
        <v>7</v>
      </c>
      <c r="B169" s="1"/>
      <c r="C169" s="6">
        <v>2339.67</v>
      </c>
      <c r="D169" s="6">
        <v>1668.58</v>
      </c>
      <c r="E169" s="6">
        <v>1307.53</v>
      </c>
      <c r="F169" s="6">
        <v>1070.96</v>
      </c>
      <c r="G169" s="6">
        <v>790.13</v>
      </c>
      <c r="H169" s="7">
        <v>796.71</v>
      </c>
    </row>
    <row r="170" spans="1:8" x14ac:dyDescent="0.3">
      <c r="A170" s="14"/>
      <c r="B170" s="2"/>
      <c r="C170" s="2"/>
      <c r="D170" s="2"/>
      <c r="E170" s="2"/>
      <c r="F170" s="2"/>
      <c r="G170" s="2"/>
      <c r="H170" s="2"/>
    </row>
    <row r="171" spans="1:8" x14ac:dyDescent="0.3">
      <c r="A171" s="4" t="s">
        <v>93</v>
      </c>
      <c r="B171" s="1"/>
      <c r="C171" s="8"/>
      <c r="D171" s="8"/>
      <c r="E171" s="8"/>
      <c r="F171" s="8"/>
      <c r="G171" s="8"/>
      <c r="H171" s="8"/>
    </row>
    <row r="172" spans="1:8" x14ac:dyDescent="0.3">
      <c r="A172" s="12" t="s">
        <v>94</v>
      </c>
      <c r="B172" s="11" t="s">
        <v>95</v>
      </c>
      <c r="C172" s="8">
        <f>C165-C168</f>
        <v>1316.7700000000004</v>
      </c>
      <c r="D172" s="8">
        <f t="shared" ref="D172:G172" si="48">D165-D168</f>
        <v>810.54</v>
      </c>
      <c r="E172" s="8">
        <f t="shared" si="48"/>
        <v>461.88000000000011</v>
      </c>
      <c r="F172" s="8">
        <f t="shared" si="48"/>
        <v>393.95999999999981</v>
      </c>
      <c r="G172" s="8">
        <f t="shared" si="48"/>
        <v>325.02</v>
      </c>
      <c r="H172" s="8">
        <f>H165-H168</f>
        <v>223.05999999999995</v>
      </c>
    </row>
    <row r="173" spans="1:8" x14ac:dyDescent="0.3">
      <c r="A173" s="12" t="s">
        <v>96</v>
      </c>
      <c r="B173" s="11" t="s">
        <v>103</v>
      </c>
      <c r="C173" s="8">
        <f>(C166+D166)/2</f>
        <v>458.65</v>
      </c>
      <c r="D173" s="8">
        <f>(D166+E166)/2</f>
        <v>344.63499999999999</v>
      </c>
      <c r="E173" s="8">
        <f>(E166+F166)/2</f>
        <v>294.745</v>
      </c>
      <c r="F173" s="8">
        <f>(F166+G166)/2</f>
        <v>255.47500000000002</v>
      </c>
      <c r="G173" s="8">
        <f>(G166+H166)/2</f>
        <v>250.72500000000002</v>
      </c>
      <c r="H173" s="8"/>
    </row>
    <row r="174" spans="1:8" x14ac:dyDescent="0.3">
      <c r="A174" s="12" t="s">
        <v>97</v>
      </c>
      <c r="B174" s="11" t="s">
        <v>104</v>
      </c>
      <c r="C174" s="2">
        <f>(C167+D167)/2</f>
        <v>1171.6400000000001</v>
      </c>
      <c r="D174" s="2">
        <f t="shared" ref="D174:G174" si="49">(D167+E167)/2</f>
        <v>835.52</v>
      </c>
      <c r="E174" s="2">
        <f t="shared" si="49"/>
        <v>642.31999999999994</v>
      </c>
      <c r="F174" s="2">
        <f t="shared" si="49"/>
        <v>565.35500000000002</v>
      </c>
      <c r="G174" s="2">
        <f t="shared" si="49"/>
        <v>485.25</v>
      </c>
    </row>
    <row r="175" spans="1:8" x14ac:dyDescent="0.3">
      <c r="A175" s="12" t="s">
        <v>98</v>
      </c>
      <c r="B175" s="11" t="s">
        <v>102</v>
      </c>
      <c r="C175" s="8">
        <f>(C169+D169)/2</f>
        <v>2004.125</v>
      </c>
      <c r="D175" s="8">
        <f t="shared" ref="D175:G175" si="50">(D169+E169)/2</f>
        <v>1488.0549999999998</v>
      </c>
      <c r="E175" s="8">
        <f t="shared" si="50"/>
        <v>1189.2449999999999</v>
      </c>
      <c r="F175" s="8">
        <f t="shared" si="50"/>
        <v>930.54500000000007</v>
      </c>
      <c r="G175" s="8">
        <f t="shared" si="50"/>
        <v>793.42000000000007</v>
      </c>
      <c r="H175" s="8"/>
    </row>
    <row r="176" spans="1:8" x14ac:dyDescent="0.3">
      <c r="A176" s="12" t="s">
        <v>105</v>
      </c>
      <c r="B176" s="11" t="s">
        <v>99</v>
      </c>
      <c r="C176" s="8">
        <f>(C173/C164)*365</f>
        <v>48.237769632844049</v>
      </c>
      <c r="D176" s="8">
        <f t="shared" ref="D176:F176" si="51">(D173/D164)*365</f>
        <v>46.452425617713637</v>
      </c>
      <c r="E176" s="8">
        <f t="shared" si="51"/>
        <v>49.798147068081242</v>
      </c>
      <c r="F176" s="8">
        <f t="shared" si="51"/>
        <v>60.464514978602004</v>
      </c>
      <c r="G176" s="8">
        <f>(G173/G164)*365</f>
        <v>64.451003936869256</v>
      </c>
      <c r="H176" s="8"/>
    </row>
    <row r="177" spans="1:8" x14ac:dyDescent="0.3">
      <c r="A177" s="12" t="s">
        <v>106</v>
      </c>
      <c r="B177" s="11" t="s">
        <v>100</v>
      </c>
      <c r="C177" s="8">
        <f>(C174/C163)*365</f>
        <v>80.570599594931949</v>
      </c>
      <c r="D177" s="8">
        <f>(D174/D163)*365</f>
        <v>74.810083110103719</v>
      </c>
      <c r="E177" s="8">
        <f>(E174/E163)*365</f>
        <v>74.376554489619807</v>
      </c>
      <c r="F177" s="8">
        <f>(F174/F163)*365</f>
        <v>87.809710130126561</v>
      </c>
      <c r="G177" s="8">
        <f>(G174/G163)*365</f>
        <v>81.52946943961112</v>
      </c>
      <c r="H177" s="8"/>
    </row>
    <row r="178" spans="1:8" x14ac:dyDescent="0.3">
      <c r="A178" s="12" t="s">
        <v>107</v>
      </c>
      <c r="B178" s="11" t="s">
        <v>101</v>
      </c>
      <c r="C178" s="8">
        <f>(C175/C164)*365</f>
        <v>210.78059536776101</v>
      </c>
      <c r="D178" s="8">
        <f>(D175/D164)*365</f>
        <v>200.57093505467188</v>
      </c>
      <c r="E178" s="8">
        <f t="shared" ref="E178:G178" si="52">(E175/E164)*365</f>
        <v>200.92689412875629</v>
      </c>
      <c r="F178" s="8">
        <f t="shared" si="52"/>
        <v>220.23662624821682</v>
      </c>
      <c r="G178" s="8">
        <f t="shared" si="52"/>
        <v>203.95539153890039</v>
      </c>
      <c r="H178" s="8"/>
    </row>
    <row r="179" spans="1:8" x14ac:dyDescent="0.3">
      <c r="A179" s="12" t="s">
        <v>109</v>
      </c>
      <c r="B179" s="11" t="s">
        <v>108</v>
      </c>
      <c r="C179" s="8">
        <f>C176+C177-C178</f>
        <v>-81.972226139985025</v>
      </c>
      <c r="D179" s="8">
        <f t="shared" ref="D179:G179" si="53">D176+D177-D178</f>
        <v>-79.308426326854516</v>
      </c>
      <c r="E179" s="8">
        <f t="shared" si="53"/>
        <v>-76.752192571055247</v>
      </c>
      <c r="F179" s="8">
        <f t="shared" si="53"/>
        <v>-71.962401139488264</v>
      </c>
      <c r="G179" s="8">
        <f t="shared" si="53"/>
        <v>-57.974918162420011</v>
      </c>
      <c r="H179" s="8"/>
    </row>
    <row r="180" spans="1:8" x14ac:dyDescent="0.3">
      <c r="A180" s="14"/>
      <c r="B180" s="2"/>
      <c r="C180" s="2"/>
      <c r="D180" s="2"/>
      <c r="E180" s="2"/>
      <c r="F180" s="2"/>
      <c r="G180" s="2"/>
      <c r="H180" s="2"/>
    </row>
    <row r="181" spans="1:8" x14ac:dyDescent="0.3">
      <c r="A181" s="26" t="s">
        <v>43</v>
      </c>
      <c r="B181" s="26"/>
      <c r="C181" s="26"/>
      <c r="D181" s="26"/>
      <c r="E181" s="26"/>
      <c r="F181" s="26"/>
      <c r="G181" s="26"/>
      <c r="H181" s="26"/>
    </row>
    <row r="182" spans="1:8" x14ac:dyDescent="0.3">
      <c r="A182" s="11" t="s">
        <v>10</v>
      </c>
      <c r="B182" s="1"/>
      <c r="C182" s="1" t="s">
        <v>0</v>
      </c>
      <c r="D182" s="1" t="s">
        <v>1</v>
      </c>
      <c r="E182" s="1" t="s">
        <v>2</v>
      </c>
      <c r="F182" s="1" t="s">
        <v>3</v>
      </c>
      <c r="G182" s="1" t="s">
        <v>4</v>
      </c>
      <c r="H182" s="1" t="s">
        <v>12</v>
      </c>
    </row>
    <row r="183" spans="1:8" x14ac:dyDescent="0.3">
      <c r="A183" s="12" t="s">
        <v>8</v>
      </c>
      <c r="B183" s="3"/>
      <c r="C183" s="6">
        <v>4999.8599999999997</v>
      </c>
      <c r="D183" s="6">
        <v>4474.74</v>
      </c>
      <c r="E183" s="6">
        <v>4378.1899999999996</v>
      </c>
      <c r="F183" s="6">
        <v>3037.81</v>
      </c>
      <c r="G183" s="6">
        <v>1695.6</v>
      </c>
      <c r="H183" s="6">
        <v>1874.55</v>
      </c>
    </row>
    <row r="184" spans="1:8" x14ac:dyDescent="0.3">
      <c r="A184" s="12" t="s">
        <v>11</v>
      </c>
      <c r="B184" s="3"/>
      <c r="C184" s="6">
        <v>3273.28</v>
      </c>
      <c r="D184" s="6">
        <v>2847.78</v>
      </c>
      <c r="E184" s="6">
        <v>3086.3700000000003</v>
      </c>
      <c r="F184" s="6">
        <v>1929.66</v>
      </c>
      <c r="G184" s="6">
        <v>769.62</v>
      </c>
      <c r="H184" s="7">
        <v>1059.6300000000001</v>
      </c>
    </row>
    <row r="185" spans="1:8" x14ac:dyDescent="0.3">
      <c r="A185" s="12" t="s">
        <v>28</v>
      </c>
      <c r="B185" s="3"/>
      <c r="C185" s="6">
        <v>1120.8800000000001</v>
      </c>
      <c r="D185" s="6">
        <v>1032.24</v>
      </c>
      <c r="E185" s="6">
        <v>858.04</v>
      </c>
      <c r="F185" s="6">
        <v>361.69</v>
      </c>
      <c r="G185" s="6">
        <v>223.31</v>
      </c>
      <c r="H185" s="7">
        <v>558.07000000000005</v>
      </c>
    </row>
    <row r="186" spans="1:8" x14ac:dyDescent="0.3">
      <c r="A186" s="12" t="s">
        <v>5</v>
      </c>
      <c r="B186" s="1"/>
      <c r="C186" s="6">
        <v>115.66</v>
      </c>
      <c r="D186" s="6">
        <v>99.17</v>
      </c>
      <c r="E186" s="6">
        <v>90.96</v>
      </c>
      <c r="F186" s="6">
        <v>76.78</v>
      </c>
      <c r="G186" s="6">
        <v>52.01</v>
      </c>
      <c r="H186" s="6">
        <v>41.3</v>
      </c>
    </row>
    <row r="187" spans="1:8" x14ac:dyDescent="0.3">
      <c r="A187" s="12" t="s">
        <v>6</v>
      </c>
      <c r="B187" s="1"/>
      <c r="C187" s="6">
        <v>424.01</v>
      </c>
      <c r="D187" s="6">
        <v>409.92</v>
      </c>
      <c r="E187" s="6">
        <v>269.77999999999997</v>
      </c>
      <c r="F187" s="6">
        <v>186.55</v>
      </c>
      <c r="G187" s="6">
        <v>103.68</v>
      </c>
      <c r="H187" s="6">
        <v>61.17</v>
      </c>
    </row>
    <row r="188" spans="1:8" x14ac:dyDescent="0.3">
      <c r="A188" s="12" t="s">
        <v>29</v>
      </c>
      <c r="B188" s="3"/>
      <c r="C188" s="6">
        <v>1538.19</v>
      </c>
      <c r="D188" s="6">
        <v>1810.52</v>
      </c>
      <c r="E188" s="6">
        <v>2193.37</v>
      </c>
      <c r="F188" s="6">
        <v>1464.13</v>
      </c>
      <c r="G188" s="6">
        <v>808.24</v>
      </c>
      <c r="H188" s="7">
        <v>591.09</v>
      </c>
    </row>
    <row r="189" spans="1:8" x14ac:dyDescent="0.3">
      <c r="A189" s="12" t="s">
        <v>7</v>
      </c>
      <c r="B189" s="1"/>
      <c r="C189" s="6">
        <v>313.8</v>
      </c>
      <c r="D189" s="6">
        <v>342.26</v>
      </c>
      <c r="E189" s="6">
        <v>306.85000000000002</v>
      </c>
      <c r="F189" s="6">
        <v>165.5</v>
      </c>
      <c r="G189" s="6">
        <v>115.52</v>
      </c>
      <c r="H189" s="6">
        <v>82.61</v>
      </c>
    </row>
    <row r="191" spans="1:8" x14ac:dyDescent="0.3">
      <c r="A191" s="4" t="s">
        <v>93</v>
      </c>
      <c r="B191" s="1"/>
      <c r="C191" s="8"/>
      <c r="D191" s="8"/>
      <c r="E191" s="8"/>
      <c r="F191" s="8"/>
      <c r="G191" s="8"/>
      <c r="H191" s="8"/>
    </row>
    <row r="192" spans="1:8" x14ac:dyDescent="0.3">
      <c r="A192" s="12" t="s">
        <v>94</v>
      </c>
      <c r="B192" s="11" t="s">
        <v>95</v>
      </c>
      <c r="C192" s="8">
        <f>C185-C188</f>
        <v>-417.30999999999995</v>
      </c>
      <c r="D192" s="8">
        <f t="shared" ref="D192:G192" si="54">D185-D188</f>
        <v>-778.28</v>
      </c>
      <c r="E192" s="8">
        <f t="shared" si="54"/>
        <v>-1335.33</v>
      </c>
      <c r="F192" s="8">
        <f t="shared" si="54"/>
        <v>-1102.44</v>
      </c>
      <c r="G192" s="8">
        <f t="shared" si="54"/>
        <v>-584.93000000000006</v>
      </c>
      <c r="H192" s="8">
        <f>H185-H188</f>
        <v>-33.019999999999982</v>
      </c>
    </row>
    <row r="193" spans="1:8" x14ac:dyDescent="0.3">
      <c r="A193" s="12" t="s">
        <v>96</v>
      </c>
      <c r="B193" s="11" t="s">
        <v>103</v>
      </c>
      <c r="C193" s="8">
        <f>(C186+D186)/2</f>
        <v>107.41499999999999</v>
      </c>
      <c r="D193" s="8">
        <f>(D186+E186)/2</f>
        <v>95.064999999999998</v>
      </c>
      <c r="E193" s="8">
        <f>(E186+F186)/2</f>
        <v>83.87</v>
      </c>
      <c r="F193" s="8">
        <f>(F186+G186)/2</f>
        <v>64.394999999999996</v>
      </c>
      <c r="G193" s="8">
        <f>(G186+H186)/2</f>
        <v>46.655000000000001</v>
      </c>
      <c r="H193" s="8"/>
    </row>
    <row r="194" spans="1:8" x14ac:dyDescent="0.3">
      <c r="A194" s="12" t="s">
        <v>97</v>
      </c>
      <c r="B194" s="11" t="s">
        <v>104</v>
      </c>
      <c r="C194" s="2">
        <f>(C187+D187)/2</f>
        <v>416.96500000000003</v>
      </c>
      <c r="D194" s="2">
        <f t="shared" ref="D194:G194" si="55">(D187+E187)/2</f>
        <v>339.85</v>
      </c>
      <c r="E194" s="2">
        <f t="shared" si="55"/>
        <v>228.16499999999999</v>
      </c>
      <c r="F194" s="2">
        <f t="shared" si="55"/>
        <v>145.11500000000001</v>
      </c>
      <c r="G194" s="2">
        <f t="shared" si="55"/>
        <v>82.425000000000011</v>
      </c>
    </row>
    <row r="195" spans="1:8" x14ac:dyDescent="0.3">
      <c r="A195" s="12" t="s">
        <v>98</v>
      </c>
      <c r="B195" s="11" t="s">
        <v>102</v>
      </c>
      <c r="C195" s="8">
        <f>(C189+D189)/2</f>
        <v>328.03</v>
      </c>
      <c r="D195" s="8">
        <f t="shared" ref="D195:G195" si="56">(D189+E189)/2</f>
        <v>324.55500000000001</v>
      </c>
      <c r="E195" s="8">
        <f t="shared" si="56"/>
        <v>236.17500000000001</v>
      </c>
      <c r="F195" s="8">
        <f t="shared" si="56"/>
        <v>140.51</v>
      </c>
      <c r="G195" s="8">
        <f t="shared" si="56"/>
        <v>99.064999999999998</v>
      </c>
      <c r="H195" s="8"/>
    </row>
    <row r="196" spans="1:8" x14ac:dyDescent="0.3">
      <c r="A196" s="12" t="s">
        <v>105</v>
      </c>
      <c r="B196" s="11" t="s">
        <v>99</v>
      </c>
      <c r="C196" s="8">
        <f>(C193/C184)*365</f>
        <v>11.977733343924136</v>
      </c>
      <c r="D196" s="8">
        <f t="shared" ref="D196:F196" si="57">(D193/D184)*365</f>
        <v>12.184482298492158</v>
      </c>
      <c r="E196" s="8">
        <f t="shared" si="57"/>
        <v>9.918626088252541</v>
      </c>
      <c r="F196" s="8">
        <f t="shared" si="57"/>
        <v>12.180474798669195</v>
      </c>
      <c r="G196" s="8">
        <f>(G193/G184)*365</f>
        <v>22.126601439671528</v>
      </c>
      <c r="H196" s="8"/>
    </row>
    <row r="197" spans="1:8" x14ac:dyDescent="0.3">
      <c r="A197" s="12" t="s">
        <v>106</v>
      </c>
      <c r="B197" s="11" t="s">
        <v>100</v>
      </c>
      <c r="C197" s="8">
        <f>(C194/C183)*365</f>
        <v>30.439297300324416</v>
      </c>
      <c r="D197" s="8">
        <f>(D194/D183)*365</f>
        <v>27.72121955689046</v>
      </c>
      <c r="E197" s="8">
        <f>(E194/E183)*365</f>
        <v>19.021610528551754</v>
      </c>
      <c r="F197" s="8">
        <f>(F194/F183)*365</f>
        <v>17.435907775667342</v>
      </c>
      <c r="G197" s="8">
        <f>(G194/G183)*365</f>
        <v>17.743055555555557</v>
      </c>
      <c r="H197" s="8"/>
    </row>
    <row r="198" spans="1:8" x14ac:dyDescent="0.3">
      <c r="A198" s="12" t="s">
        <v>107</v>
      </c>
      <c r="B198" s="11" t="s">
        <v>101</v>
      </c>
      <c r="C198" s="8">
        <f>(C195/C184)*365</f>
        <v>36.578279279499455</v>
      </c>
      <c r="D198" s="8">
        <f>(D195/D184)*365</f>
        <v>41.598218612392806</v>
      </c>
      <c r="E198" s="8">
        <f t="shared" ref="E198:G198" si="58">(E195/E184)*365</f>
        <v>27.930505739752522</v>
      </c>
      <c r="F198" s="8">
        <f t="shared" si="58"/>
        <v>26.577816817470435</v>
      </c>
      <c r="G198" s="8">
        <f t="shared" si="58"/>
        <v>46.982569319924117</v>
      </c>
      <c r="H198" s="8"/>
    </row>
    <row r="199" spans="1:8" x14ac:dyDescent="0.3">
      <c r="A199" s="12" t="s">
        <v>109</v>
      </c>
      <c r="B199" s="11" t="s">
        <v>108</v>
      </c>
      <c r="C199" s="8">
        <f>C196+C197-C198</f>
        <v>5.8387513647491005</v>
      </c>
      <c r="D199" s="8">
        <f t="shared" ref="D199:G199" si="59">D196+D197-D198</f>
        <v>-1.6925167570101891</v>
      </c>
      <c r="E199" s="8">
        <f t="shared" si="59"/>
        <v>1.0097308770517728</v>
      </c>
      <c r="F199" s="8">
        <f t="shared" si="59"/>
        <v>3.0385657568661024</v>
      </c>
      <c r="G199" s="8">
        <f t="shared" si="59"/>
        <v>-7.1129123246970281</v>
      </c>
      <c r="H199" s="8"/>
    </row>
    <row r="202" spans="1:8" x14ac:dyDescent="0.3">
      <c r="A202" s="11" t="s">
        <v>123</v>
      </c>
      <c r="C202" s="1" t="s">
        <v>0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12</v>
      </c>
    </row>
    <row r="203" spans="1:8" x14ac:dyDescent="0.3">
      <c r="A203" s="14" t="s">
        <v>110</v>
      </c>
      <c r="C203" s="24">
        <f>AVERAGE(C12, C32, C52, C72, C92, C112, C132, C152, C172, C192)</f>
        <v>-9489.9909999999982</v>
      </c>
      <c r="D203" s="24">
        <f>AVERAGE(D12, D32, D52, D72, D92, D112, D132, D152, D172, D192)</f>
        <v>-5930.829999999999</v>
      </c>
      <c r="E203" s="24">
        <f t="shared" ref="E203:H203" si="60">AVERAGE(E12, E32, E52, E72, E92, E112, E132, E152, E172, E192)</f>
        <v>-4868.9830000000011</v>
      </c>
      <c r="F203" s="24">
        <f t="shared" si="60"/>
        <v>-5931.630000000001</v>
      </c>
      <c r="G203" s="24">
        <f t="shared" si="60"/>
        <v>-6778.8570000000009</v>
      </c>
      <c r="H203" s="24">
        <f t="shared" si="60"/>
        <v>-27241.26</v>
      </c>
    </row>
    <row r="204" spans="1:8" x14ac:dyDescent="0.3">
      <c r="A204" s="14" t="s">
        <v>120</v>
      </c>
      <c r="C204" s="24">
        <f>AVERAGE(C19, C39, C59, C79, C99, C119, C139, C159, C179, C199)</f>
        <v>18.009927831049851</v>
      </c>
      <c r="D204" s="24">
        <f>AVERAGE(D19, D39, D59, D79, D99, D119, D139, D159, D179, D199)</f>
        <v>15.532443343940756</v>
      </c>
      <c r="E204" s="24">
        <f>AVERAGE(E19, E39, E59, E79, E99, E119, E139, E159, E179, E199)</f>
        <v>11.499665144771203</v>
      </c>
      <c r="F204" s="24">
        <f>AVERAGE(F19, F39, F59, F79, F99, F119, F139, F159, F179, F199)</f>
        <v>10.432728967946097</v>
      </c>
      <c r="G204" s="24">
        <f>AVERAGE(G19, G39, G59, G79, G99, G119, G139, G159, G179, G199)</f>
        <v>16.59856437810614</v>
      </c>
      <c r="H204" s="24"/>
    </row>
    <row r="205" spans="1:8" x14ac:dyDescent="0.3">
      <c r="A205" s="11" t="s">
        <v>115</v>
      </c>
    </row>
    <row r="206" spans="1:8" x14ac:dyDescent="0.3">
      <c r="A206" s="14" t="s">
        <v>121</v>
      </c>
      <c r="C206" s="24">
        <f>AVERAGE(C12,C32,C52,C72,C92)</f>
        <v>-22325.264000000003</v>
      </c>
      <c r="D206" s="24">
        <f t="shared" ref="D206:G206" si="61">AVERAGE(D12,D32,D52,D72,D92)</f>
        <v>-13967.817999999999</v>
      </c>
      <c r="E206" s="24">
        <f t="shared" si="61"/>
        <v>-11453.119999999999</v>
      </c>
      <c r="F206" s="24">
        <f t="shared" si="61"/>
        <v>-13019.536000000002</v>
      </c>
      <c r="G206" s="24">
        <f t="shared" si="61"/>
        <v>-14749.556000000002</v>
      </c>
    </row>
    <row r="207" spans="1:8" x14ac:dyDescent="0.3">
      <c r="A207" s="14" t="s">
        <v>120</v>
      </c>
      <c r="C207" s="24">
        <f>AVERAGE(C19, C39, C59, C79, C99)</f>
        <v>17.05451139438447</v>
      </c>
      <c r="D207" s="24">
        <f t="shared" ref="D207:G207" si="62">AVERAGE(D19, D39, D59, D79, D99)</f>
        <v>15.087784526331257</v>
      </c>
      <c r="E207" s="24">
        <f t="shared" si="62"/>
        <v>8.7607728273552308</v>
      </c>
      <c r="F207" s="24">
        <f t="shared" si="62"/>
        <v>10.521014430993636</v>
      </c>
      <c r="G207" s="24">
        <f t="shared" si="62"/>
        <v>17.706232203748925</v>
      </c>
    </row>
    <row r="208" spans="1:8" x14ac:dyDescent="0.3">
      <c r="A208" s="11" t="s">
        <v>116</v>
      </c>
    </row>
    <row r="209" spans="1:7" x14ac:dyDescent="0.3">
      <c r="A209" s="14" t="s">
        <v>110</v>
      </c>
      <c r="C209" s="24">
        <f>AVERAGE(C112, C132, C152, C172, C192)</f>
        <v>3345.2820000000002</v>
      </c>
      <c r="D209" s="24">
        <f t="shared" ref="D209:G209" si="63">AVERAGE(D112, D132, D152, D172, D192)</f>
        <v>2106.1580000000004</v>
      </c>
      <c r="E209" s="24">
        <f t="shared" si="63"/>
        <v>1715.1539999999998</v>
      </c>
      <c r="F209" s="24">
        <f t="shared" si="63"/>
        <v>1156.2759999999998</v>
      </c>
      <c r="G209" s="24">
        <f t="shared" si="63"/>
        <v>1191.8420000000001</v>
      </c>
    </row>
    <row r="210" spans="1:7" x14ac:dyDescent="0.3">
      <c r="A210" s="14" t="s">
        <v>120</v>
      </c>
      <c r="C210" s="24">
        <f>AVERAGE(C119, C139, C159, C179, C199)</f>
        <v>18.965344267715238</v>
      </c>
      <c r="D210" s="24">
        <f t="shared" ref="D210:G210" si="64">AVERAGE(D119, D139, D159, D179, D199)</f>
        <v>15.977102161550254</v>
      </c>
      <c r="E210" s="24">
        <f t="shared" si="64"/>
        <v>14.238557462187174</v>
      </c>
      <c r="F210" s="24">
        <f t="shared" si="64"/>
        <v>10.34444350489856</v>
      </c>
      <c r="G210" s="24">
        <f t="shared" si="64"/>
        <v>15.490896552463351</v>
      </c>
    </row>
  </sheetData>
  <mergeCells count="10">
    <mergeCell ref="A141:H141"/>
    <mergeCell ref="A161:H161"/>
    <mergeCell ref="A181:H181"/>
    <mergeCell ref="A121:H121"/>
    <mergeCell ref="A1:H1"/>
    <mergeCell ref="A21:H21"/>
    <mergeCell ref="A61:H61"/>
    <mergeCell ref="A81:H81"/>
    <mergeCell ref="A101:H101"/>
    <mergeCell ref="A41:H41"/>
  </mergeCells>
  <pageMargins left="0.7" right="0.7" top="0.75" bottom="0.75" header="0.3" footer="0.3"/>
  <pageSetup scale="60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748-EAEB-4367-8975-0A74F8AC472D}">
  <dimension ref="A1:H210"/>
  <sheetViews>
    <sheetView view="pageBreakPreview" topLeftCell="A197" zoomScale="133" zoomScaleNormal="100" workbookViewId="0">
      <selection activeCell="C212" sqref="C212"/>
    </sheetView>
  </sheetViews>
  <sheetFormatPr defaultRowHeight="14.4" x14ac:dyDescent="0.3"/>
  <cols>
    <col min="1" max="1" width="42.44140625" bestFit="1" customWidth="1"/>
    <col min="2" max="2" width="43" bestFit="1" customWidth="1"/>
    <col min="3" max="7" width="9" bestFit="1" customWidth="1"/>
    <col min="8" max="8" width="15.44140625" customWidth="1"/>
  </cols>
  <sheetData>
    <row r="1" spans="1:8" x14ac:dyDescent="0.3">
      <c r="A1" s="26" t="s">
        <v>44</v>
      </c>
      <c r="B1" s="26"/>
      <c r="C1" s="26"/>
      <c r="D1" s="26"/>
      <c r="E1" s="26"/>
      <c r="F1" s="26"/>
      <c r="G1" s="26"/>
      <c r="H1" s="26"/>
    </row>
    <row r="2" spans="1:8" s="1" customFormat="1" x14ac:dyDescent="0.3">
      <c r="A2" s="1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12</v>
      </c>
    </row>
    <row r="3" spans="1:8" x14ac:dyDescent="0.3">
      <c r="A3" s="12" t="s">
        <v>8</v>
      </c>
      <c r="B3" s="3"/>
      <c r="C3" s="8">
        <v>238496</v>
      </c>
      <c r="D3" s="8">
        <v>215962</v>
      </c>
      <c r="E3" s="8">
        <v>223202</v>
      </c>
      <c r="F3" s="8">
        <v>195059</v>
      </c>
      <c r="G3" s="8">
        <v>131985</v>
      </c>
      <c r="H3" s="8">
        <v>118144</v>
      </c>
    </row>
    <row r="4" spans="1:8" x14ac:dyDescent="0.3">
      <c r="A4" s="12" t="s">
        <v>11</v>
      </c>
      <c r="B4" s="3"/>
      <c r="C4" s="8">
        <v>159345</v>
      </c>
      <c r="D4" s="8">
        <v>148331</v>
      </c>
      <c r="E4" s="8">
        <v>158116</v>
      </c>
      <c r="F4" s="8">
        <v>128686</v>
      </c>
      <c r="G4" s="8">
        <v>85228</v>
      </c>
      <c r="H4" s="9">
        <f>77727+256-17</f>
        <v>77966</v>
      </c>
    </row>
    <row r="5" spans="1:8" x14ac:dyDescent="0.3">
      <c r="A5" s="13" t="s">
        <v>28</v>
      </c>
      <c r="B5" s="3"/>
      <c r="C5" s="8">
        <v>101959</v>
      </c>
      <c r="D5" s="8">
        <v>82343</v>
      </c>
      <c r="E5" s="8">
        <v>89311</v>
      </c>
      <c r="F5" s="8">
        <v>98543</v>
      </c>
      <c r="G5" s="8">
        <v>67628</v>
      </c>
      <c r="H5" s="9">
        <v>66282</v>
      </c>
    </row>
    <row r="6" spans="1:8" x14ac:dyDescent="0.3">
      <c r="A6" s="12" t="s">
        <v>5</v>
      </c>
      <c r="B6" s="1"/>
      <c r="C6" s="8">
        <v>48801</v>
      </c>
      <c r="D6" s="8">
        <v>40812</v>
      </c>
      <c r="E6" s="8">
        <v>42958</v>
      </c>
      <c r="F6" s="8">
        <v>44483</v>
      </c>
      <c r="G6" s="8">
        <v>30668</v>
      </c>
      <c r="H6" s="8">
        <v>22384</v>
      </c>
    </row>
    <row r="7" spans="1:8" x14ac:dyDescent="0.3">
      <c r="A7" s="12" t="s">
        <v>6</v>
      </c>
      <c r="B7" s="1"/>
      <c r="C7" s="8">
        <v>19834</v>
      </c>
      <c r="D7" s="8">
        <v>16404</v>
      </c>
      <c r="E7" s="8">
        <v>16214</v>
      </c>
      <c r="F7" s="8">
        <v>21076</v>
      </c>
      <c r="G7" s="8">
        <v>12959</v>
      </c>
      <c r="H7" s="8">
        <v>9345</v>
      </c>
    </row>
    <row r="8" spans="1:8" x14ac:dyDescent="0.3">
      <c r="A8" s="13" t="s">
        <v>29</v>
      </c>
      <c r="B8" s="2"/>
      <c r="C8" s="9">
        <v>65516</v>
      </c>
      <c r="D8" s="9">
        <v>59351</v>
      </c>
      <c r="E8" s="9">
        <v>60457</v>
      </c>
      <c r="F8" s="9">
        <v>77273</v>
      </c>
      <c r="G8" s="9">
        <v>48493</v>
      </c>
      <c r="H8" s="9">
        <v>37217</v>
      </c>
    </row>
    <row r="9" spans="1:8" x14ac:dyDescent="0.3">
      <c r="A9" s="12" t="s">
        <v>7</v>
      </c>
      <c r="B9" s="1"/>
      <c r="C9" s="8">
        <v>40632</v>
      </c>
      <c r="D9" s="8">
        <v>34444</v>
      </c>
      <c r="E9" s="8">
        <v>35860</v>
      </c>
      <c r="F9" s="8">
        <v>41382</v>
      </c>
      <c r="G9" s="8">
        <v>28280</v>
      </c>
      <c r="H9" s="8">
        <v>18300</v>
      </c>
    </row>
    <row r="10" spans="1:8" x14ac:dyDescent="0.3">
      <c r="A10" s="12"/>
      <c r="B10" s="1"/>
      <c r="C10" s="8"/>
      <c r="D10" s="8"/>
      <c r="E10" s="8"/>
      <c r="F10" s="8"/>
      <c r="G10" s="8"/>
      <c r="H10" s="8"/>
    </row>
    <row r="11" spans="1:8" x14ac:dyDescent="0.3">
      <c r="A11" s="4" t="s">
        <v>93</v>
      </c>
      <c r="B11" s="1"/>
      <c r="C11" s="8"/>
      <c r="D11" s="8"/>
      <c r="E11" s="8"/>
      <c r="F11" s="8"/>
      <c r="G11" s="8"/>
      <c r="H11" s="8"/>
    </row>
    <row r="12" spans="1:8" x14ac:dyDescent="0.3">
      <c r="A12" s="12" t="s">
        <v>94</v>
      </c>
      <c r="B12" s="11" t="s">
        <v>95</v>
      </c>
      <c r="C12" s="8">
        <f>C5-C8</f>
        <v>36443</v>
      </c>
      <c r="D12" s="8">
        <f t="shared" ref="D12:G12" si="0">D5-D8</f>
        <v>22992</v>
      </c>
      <c r="E12" s="8">
        <f t="shared" si="0"/>
        <v>28854</v>
      </c>
      <c r="F12" s="8">
        <f t="shared" si="0"/>
        <v>21270</v>
      </c>
      <c r="G12" s="8">
        <f t="shared" si="0"/>
        <v>19135</v>
      </c>
      <c r="H12" s="8">
        <f>H5-H8</f>
        <v>29065</v>
      </c>
    </row>
    <row r="13" spans="1:8" x14ac:dyDescent="0.3">
      <c r="A13" s="12" t="s">
        <v>96</v>
      </c>
      <c r="B13" s="11" t="s">
        <v>103</v>
      </c>
      <c r="C13" s="8">
        <f>(C6+D6)/2</f>
        <v>44806.5</v>
      </c>
      <c r="D13" s="8">
        <f>(D6+E6)/2</f>
        <v>41885</v>
      </c>
      <c r="E13" s="8">
        <f>(E6+F6)/2</f>
        <v>43720.5</v>
      </c>
      <c r="F13" s="8">
        <f>(F6+G6)/2</f>
        <v>37575.5</v>
      </c>
      <c r="G13" s="8">
        <f>(G6+H6)/2</f>
        <v>26526</v>
      </c>
      <c r="H13" s="8"/>
    </row>
    <row r="14" spans="1:8" x14ac:dyDescent="0.3">
      <c r="A14" s="12" t="s">
        <v>97</v>
      </c>
      <c r="B14" s="11" t="s">
        <v>104</v>
      </c>
      <c r="C14" s="2">
        <f>(C7+D7)/2</f>
        <v>18119</v>
      </c>
      <c r="D14" s="2">
        <f t="shared" ref="D14:G14" si="1">(D7+E7)/2</f>
        <v>16309</v>
      </c>
      <c r="E14" s="2">
        <f t="shared" si="1"/>
        <v>18645</v>
      </c>
      <c r="F14" s="2">
        <f t="shared" si="1"/>
        <v>17017.5</v>
      </c>
      <c r="G14" s="2">
        <f t="shared" si="1"/>
        <v>11152</v>
      </c>
    </row>
    <row r="15" spans="1:8" x14ac:dyDescent="0.3">
      <c r="A15" s="12" t="s">
        <v>98</v>
      </c>
      <c r="B15" s="11" t="s">
        <v>102</v>
      </c>
      <c r="C15" s="8">
        <f>(C9+D9)/2</f>
        <v>37538</v>
      </c>
      <c r="D15" s="8">
        <f t="shared" ref="D15:G15" si="2">(D9+E9)/2</f>
        <v>35152</v>
      </c>
      <c r="E15" s="8">
        <f t="shared" si="2"/>
        <v>38621</v>
      </c>
      <c r="F15" s="8">
        <f t="shared" si="2"/>
        <v>34831</v>
      </c>
      <c r="G15" s="8">
        <f t="shared" si="2"/>
        <v>23290</v>
      </c>
      <c r="H15" s="8"/>
    </row>
    <row r="16" spans="1:8" x14ac:dyDescent="0.3">
      <c r="A16" s="12" t="s">
        <v>105</v>
      </c>
      <c r="B16" s="11" t="s">
        <v>99</v>
      </c>
      <c r="C16" s="8">
        <f>(C13/C4)*365</f>
        <v>102.63499011578649</v>
      </c>
      <c r="D16" s="8">
        <f t="shared" ref="D16:F16" si="3">(D13/D4)*365</f>
        <v>103.06695835664831</v>
      </c>
      <c r="E16" s="8">
        <f t="shared" si="3"/>
        <v>100.92579182372435</v>
      </c>
      <c r="F16" s="8">
        <f t="shared" si="3"/>
        <v>106.57769687456289</v>
      </c>
      <c r="G16" s="8">
        <f>(G13/G4)*365</f>
        <v>113.60104660440231</v>
      </c>
      <c r="H16" s="8"/>
    </row>
    <row r="17" spans="1:8" x14ac:dyDescent="0.3">
      <c r="A17" s="12" t="s">
        <v>106</v>
      </c>
      <c r="B17" s="11" t="s">
        <v>100</v>
      </c>
      <c r="C17" s="8">
        <f>(C14/C3)*365</f>
        <v>27.729752280960689</v>
      </c>
      <c r="D17" s="8">
        <f>(D14/D3)*365</f>
        <v>27.564039043905876</v>
      </c>
      <c r="E17" s="8">
        <f>(E14/E3)*365</f>
        <v>30.48998216861856</v>
      </c>
      <c r="F17" s="8">
        <f>(F14/F3)*365</f>
        <v>31.84363449007736</v>
      </c>
      <c r="G17" s="8">
        <f>(G14/G3)*365</f>
        <v>30.840474296321549</v>
      </c>
      <c r="H17" s="8"/>
    </row>
    <row r="18" spans="1:8" x14ac:dyDescent="0.3">
      <c r="A18" s="12" t="s">
        <v>107</v>
      </c>
      <c r="B18" s="11" t="s">
        <v>101</v>
      </c>
      <c r="C18" s="8">
        <f>(C15/C4)*365</f>
        <v>85.985565910445885</v>
      </c>
      <c r="D18" s="8">
        <f>(D15/D4)*365</f>
        <v>86.498978635618997</v>
      </c>
      <c r="E18" s="8">
        <f t="shared" ref="E18:G18" si="4">(E15/E4)*365</f>
        <v>89.15394393989223</v>
      </c>
      <c r="F18" s="8">
        <f t="shared" si="4"/>
        <v>98.793303078811988</v>
      </c>
      <c r="G18" s="8">
        <f t="shared" si="4"/>
        <v>99.742455531046147</v>
      </c>
      <c r="H18" s="8"/>
    </row>
    <row r="19" spans="1:8" x14ac:dyDescent="0.3">
      <c r="A19" s="12" t="s">
        <v>109</v>
      </c>
      <c r="B19" s="11" t="s">
        <v>108</v>
      </c>
      <c r="C19" s="8">
        <f>C16+C17-C18</f>
        <v>44.37917648630129</v>
      </c>
      <c r="D19" s="8">
        <f t="shared" ref="D19:G19" si="5">D16+D17-D18</f>
        <v>44.132018764935182</v>
      </c>
      <c r="E19" s="8">
        <f t="shared" si="5"/>
        <v>42.261830052450676</v>
      </c>
      <c r="F19" s="8">
        <f t="shared" si="5"/>
        <v>39.628028285828265</v>
      </c>
      <c r="G19" s="8">
        <f t="shared" si="5"/>
        <v>44.699065369677726</v>
      </c>
      <c r="H19" s="8"/>
    </row>
    <row r="20" spans="1:8" x14ac:dyDescent="0.3">
      <c r="A20" s="12"/>
      <c r="B20" s="1"/>
      <c r="C20" s="8"/>
      <c r="D20" s="8"/>
      <c r="E20" s="8"/>
      <c r="F20" s="8"/>
      <c r="G20" s="8"/>
      <c r="H20" s="8"/>
    </row>
    <row r="21" spans="1:8" x14ac:dyDescent="0.3">
      <c r="A21" s="26" t="s">
        <v>45</v>
      </c>
      <c r="B21" s="26"/>
      <c r="C21" s="26"/>
      <c r="D21" s="26"/>
      <c r="E21" s="26"/>
      <c r="F21" s="26"/>
      <c r="G21" s="26"/>
      <c r="H21" s="26"/>
    </row>
    <row r="22" spans="1:8" x14ac:dyDescent="0.3">
      <c r="A22" s="11" t="s">
        <v>10</v>
      </c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12</v>
      </c>
    </row>
    <row r="23" spans="1:8" x14ac:dyDescent="0.3">
      <c r="A23" s="12" t="s">
        <v>8</v>
      </c>
      <c r="B23" s="3"/>
      <c r="C23" s="5">
        <v>218542.51</v>
      </c>
      <c r="D23" s="5">
        <v>229170.78</v>
      </c>
      <c r="E23" s="5">
        <v>243352.69</v>
      </c>
      <c r="F23" s="5">
        <v>243959.17</v>
      </c>
      <c r="G23" s="5">
        <v>156477.4</v>
      </c>
      <c r="H23" s="5">
        <v>148971.71</v>
      </c>
    </row>
    <row r="24" spans="1:8" x14ac:dyDescent="0.3">
      <c r="A24" s="12" t="s">
        <v>11</v>
      </c>
      <c r="B24" s="3"/>
      <c r="C24" s="6">
        <v>95000.65</v>
      </c>
      <c r="D24" s="6">
        <v>101915.74000000002</v>
      </c>
      <c r="E24" s="6">
        <v>113238.3</v>
      </c>
      <c r="F24" s="6">
        <v>83478.740000000005</v>
      </c>
      <c r="G24" s="6">
        <v>56617.579999999994</v>
      </c>
      <c r="H24" s="6">
        <v>64587.08</v>
      </c>
    </row>
    <row r="25" spans="1:8" x14ac:dyDescent="0.3">
      <c r="A25" s="12" t="s">
        <v>28</v>
      </c>
      <c r="B25" s="4"/>
      <c r="C25" s="6">
        <v>68391.539999999994</v>
      </c>
      <c r="D25" s="6">
        <v>70548.240000000005</v>
      </c>
      <c r="E25" s="6">
        <v>86665.54</v>
      </c>
      <c r="F25" s="6">
        <v>92556.61</v>
      </c>
      <c r="G25" s="6">
        <v>60211.9</v>
      </c>
      <c r="H25" s="6">
        <v>58732.72</v>
      </c>
    </row>
    <row r="26" spans="1:8" x14ac:dyDescent="0.3">
      <c r="A26" s="12" t="s">
        <v>5</v>
      </c>
      <c r="B26" s="1"/>
      <c r="C26" s="6">
        <v>44589.94</v>
      </c>
      <c r="D26" s="6">
        <v>49157.51</v>
      </c>
      <c r="E26" s="6">
        <v>54415.33</v>
      </c>
      <c r="F26" s="6">
        <v>48824.39</v>
      </c>
      <c r="G26" s="6">
        <v>33276.379999999997</v>
      </c>
      <c r="H26" s="6">
        <v>31068.720000000001</v>
      </c>
    </row>
    <row r="27" spans="1:8" x14ac:dyDescent="0.3">
      <c r="A27" s="12" t="s">
        <v>6</v>
      </c>
      <c r="B27" s="1"/>
      <c r="C27" s="6">
        <v>5260.06</v>
      </c>
      <c r="D27" s="6">
        <v>6263.53</v>
      </c>
      <c r="E27" s="6">
        <v>8257.24</v>
      </c>
      <c r="F27" s="6">
        <v>12246.43</v>
      </c>
      <c r="G27" s="6">
        <v>9539.84</v>
      </c>
      <c r="H27" s="6">
        <v>7884.91</v>
      </c>
    </row>
    <row r="28" spans="1:8" x14ac:dyDescent="0.3">
      <c r="A28" s="12" t="s">
        <v>29</v>
      </c>
      <c r="B28" s="4"/>
      <c r="C28" s="6">
        <v>86093.55</v>
      </c>
      <c r="D28" s="6">
        <v>98403.48</v>
      </c>
      <c r="E28" s="6">
        <v>97295.13</v>
      </c>
      <c r="F28" s="6">
        <v>90588</v>
      </c>
      <c r="G28" s="6">
        <v>70867.100000000006</v>
      </c>
      <c r="H28" s="6">
        <v>61660.91</v>
      </c>
    </row>
    <row r="29" spans="1:8" x14ac:dyDescent="0.3">
      <c r="A29" s="12" t="s">
        <v>7</v>
      </c>
      <c r="B29" s="1"/>
      <c r="C29" s="6">
        <v>29314.38</v>
      </c>
      <c r="D29" s="6">
        <v>35434.660000000003</v>
      </c>
      <c r="E29" s="6">
        <v>37832.54</v>
      </c>
      <c r="F29" s="6">
        <v>36764.870000000003</v>
      </c>
      <c r="G29" s="6">
        <v>25967.49</v>
      </c>
      <c r="H29" s="6">
        <v>21380.85</v>
      </c>
    </row>
    <row r="30" spans="1:8" x14ac:dyDescent="0.3">
      <c r="A30" s="12"/>
      <c r="B30" s="1"/>
      <c r="C30" s="6"/>
      <c r="D30" s="6"/>
      <c r="E30" s="6"/>
      <c r="F30" s="6"/>
      <c r="G30" s="6"/>
      <c r="H30" s="6"/>
    </row>
    <row r="31" spans="1:8" x14ac:dyDescent="0.3">
      <c r="A31" s="4" t="s">
        <v>93</v>
      </c>
      <c r="B31" s="1"/>
      <c r="C31" s="8"/>
      <c r="D31" s="8"/>
      <c r="E31" s="8"/>
      <c r="F31" s="8"/>
      <c r="G31" s="8"/>
      <c r="H31" s="8"/>
    </row>
    <row r="32" spans="1:8" x14ac:dyDescent="0.3">
      <c r="A32" s="12" t="s">
        <v>94</v>
      </c>
      <c r="B32" s="11" t="s">
        <v>95</v>
      </c>
      <c r="C32" s="8">
        <f>C25-C28</f>
        <v>-17702.010000000009</v>
      </c>
      <c r="D32" s="8">
        <f t="shared" ref="D32:G32" si="6">D25-D28</f>
        <v>-27855.239999999991</v>
      </c>
      <c r="E32" s="8">
        <f t="shared" si="6"/>
        <v>-10629.590000000011</v>
      </c>
      <c r="F32" s="8">
        <f t="shared" si="6"/>
        <v>1968.6100000000006</v>
      </c>
      <c r="G32" s="8">
        <f t="shared" si="6"/>
        <v>-10655.200000000004</v>
      </c>
      <c r="H32" s="8">
        <f>H25-H28</f>
        <v>-2928.1900000000023</v>
      </c>
    </row>
    <row r="33" spans="1:8" x14ac:dyDescent="0.3">
      <c r="A33" s="12" t="s">
        <v>96</v>
      </c>
      <c r="B33" s="11" t="s">
        <v>103</v>
      </c>
      <c r="C33" s="8">
        <f>(C26+D26)/2</f>
        <v>46873.725000000006</v>
      </c>
      <c r="D33" s="8">
        <f>(D26+E26)/2</f>
        <v>51786.42</v>
      </c>
      <c r="E33" s="8">
        <f>(E26+F26)/2</f>
        <v>51619.86</v>
      </c>
      <c r="F33" s="8">
        <f>(F26+G26)/2</f>
        <v>41050.384999999995</v>
      </c>
      <c r="G33" s="8">
        <f>(G26+H26)/2</f>
        <v>32172.55</v>
      </c>
      <c r="H33" s="8"/>
    </row>
    <row r="34" spans="1:8" x14ac:dyDescent="0.3">
      <c r="A34" s="12" t="s">
        <v>97</v>
      </c>
      <c r="B34" s="11" t="s">
        <v>104</v>
      </c>
      <c r="C34" s="2">
        <f>(C27+D27)/2</f>
        <v>5761.7950000000001</v>
      </c>
      <c r="D34" s="2">
        <f t="shared" ref="D34:G34" si="7">(D27+E27)/2</f>
        <v>7260.3850000000002</v>
      </c>
      <c r="E34" s="2">
        <f t="shared" si="7"/>
        <v>10251.834999999999</v>
      </c>
      <c r="F34" s="2">
        <f t="shared" si="7"/>
        <v>10893.135</v>
      </c>
      <c r="G34" s="2">
        <f t="shared" si="7"/>
        <v>8712.375</v>
      </c>
    </row>
    <row r="35" spans="1:8" x14ac:dyDescent="0.3">
      <c r="A35" s="12" t="s">
        <v>98</v>
      </c>
      <c r="B35" s="11" t="s">
        <v>102</v>
      </c>
      <c r="C35" s="8">
        <f>(C29+D29)/2</f>
        <v>32374.520000000004</v>
      </c>
      <c r="D35" s="8">
        <f t="shared" ref="D35:G35" si="8">(D29+E29)/2</f>
        <v>36633.600000000006</v>
      </c>
      <c r="E35" s="8">
        <f t="shared" si="8"/>
        <v>37298.705000000002</v>
      </c>
      <c r="F35" s="8">
        <f t="shared" si="8"/>
        <v>31366.18</v>
      </c>
      <c r="G35" s="8">
        <f t="shared" si="8"/>
        <v>23674.17</v>
      </c>
      <c r="H35" s="8"/>
    </row>
    <row r="36" spans="1:8" x14ac:dyDescent="0.3">
      <c r="A36" s="12" t="s">
        <v>105</v>
      </c>
      <c r="B36" s="11" t="s">
        <v>99</v>
      </c>
      <c r="C36" s="8">
        <f>(C33/C24)*365</f>
        <v>180.09255331410895</v>
      </c>
      <c r="D36" s="8">
        <f t="shared" ref="D36:F36" si="9">(D33/D24)*365</f>
        <v>185.4673605863039</v>
      </c>
      <c r="E36" s="8">
        <f t="shared" si="9"/>
        <v>166.38583323840081</v>
      </c>
      <c r="F36" s="8">
        <f t="shared" si="9"/>
        <v>179.48750214725328</v>
      </c>
      <c r="G36" s="8">
        <f>(G33/G24)*365</f>
        <v>207.40873682697142</v>
      </c>
      <c r="H36" s="8"/>
    </row>
    <row r="37" spans="1:8" x14ac:dyDescent="0.3">
      <c r="A37" s="12" t="s">
        <v>106</v>
      </c>
      <c r="B37" s="11" t="s">
        <v>100</v>
      </c>
      <c r="C37" s="8">
        <f>(C34/C23)*365</f>
        <v>9.6230942666486268</v>
      </c>
      <c r="D37" s="8">
        <f>(D34/D23)*365</f>
        <v>11.563605643791062</v>
      </c>
      <c r="E37" s="8">
        <f>(E34/E23)*365</f>
        <v>15.376529328687511</v>
      </c>
      <c r="F37" s="8">
        <f>(F34/F23)*365</f>
        <v>16.297785711436877</v>
      </c>
      <c r="G37" s="8">
        <f>(G34/G23)*365</f>
        <v>20.322531400700676</v>
      </c>
      <c r="H37" s="8"/>
    </row>
    <row r="38" spans="1:8" x14ac:dyDescent="0.3">
      <c r="A38" s="12" t="s">
        <v>107</v>
      </c>
      <c r="B38" s="11" t="s">
        <v>101</v>
      </c>
      <c r="C38" s="8">
        <f>(C35/C24)*365</f>
        <v>124.38546262578205</v>
      </c>
      <c r="D38" s="8">
        <f>(D35/D24)*365</f>
        <v>131.19920436234872</v>
      </c>
      <c r="E38" s="8">
        <f t="shared" ref="E38:G38" si="10">(E35/E24)*365</f>
        <v>120.22458236303443</v>
      </c>
      <c r="F38" s="8">
        <f t="shared" si="10"/>
        <v>137.14456758690895</v>
      </c>
      <c r="G38" s="8">
        <f t="shared" si="10"/>
        <v>152.62171307922381</v>
      </c>
      <c r="H38" s="8"/>
    </row>
    <row r="39" spans="1:8" x14ac:dyDescent="0.3">
      <c r="A39" s="12" t="s">
        <v>109</v>
      </c>
      <c r="B39" s="11" t="s">
        <v>108</v>
      </c>
      <c r="C39" s="8">
        <f>C36+C37-C38</f>
        <v>65.330184954975522</v>
      </c>
      <c r="D39" s="8">
        <f t="shared" ref="D39:G39" si="11">D36+D37-D38</f>
        <v>65.831761867746224</v>
      </c>
      <c r="E39" s="8">
        <f t="shared" si="11"/>
        <v>61.537780204053874</v>
      </c>
      <c r="F39" s="8">
        <f t="shared" si="11"/>
        <v>58.64072027178122</v>
      </c>
      <c r="G39" s="8">
        <f t="shared" si="11"/>
        <v>75.109555148448294</v>
      </c>
      <c r="H39" s="8"/>
    </row>
    <row r="40" spans="1:8" x14ac:dyDescent="0.3">
      <c r="A40" s="12"/>
      <c r="B40" s="1"/>
      <c r="C40" s="6"/>
      <c r="D40" s="6"/>
      <c r="E40" s="6"/>
      <c r="F40" s="6"/>
      <c r="G40" s="6"/>
      <c r="H40" s="6"/>
    </row>
    <row r="41" spans="1:8" x14ac:dyDescent="0.3">
      <c r="A41" s="26" t="s">
        <v>46</v>
      </c>
      <c r="B41" s="26"/>
      <c r="C41" s="26"/>
      <c r="D41" s="26"/>
      <c r="E41" s="26"/>
      <c r="F41" s="26"/>
      <c r="G41" s="26"/>
      <c r="H41" s="26"/>
    </row>
    <row r="42" spans="1:8" x14ac:dyDescent="0.3">
      <c r="A42" s="11" t="s">
        <v>10</v>
      </c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12</v>
      </c>
    </row>
    <row r="43" spans="1:8" x14ac:dyDescent="0.3">
      <c r="A43" s="12" t="s">
        <v>8</v>
      </c>
      <c r="B43" s="3"/>
      <c r="C43" s="6">
        <v>168824</v>
      </c>
      <c r="D43" s="6">
        <v>175006</v>
      </c>
      <c r="E43" s="6">
        <v>165960</v>
      </c>
      <c r="F43" s="6">
        <v>146371</v>
      </c>
      <c r="G43" s="6">
        <v>79839</v>
      </c>
      <c r="H43" s="7">
        <v>73326</v>
      </c>
    </row>
    <row r="44" spans="1:8" x14ac:dyDescent="0.3">
      <c r="A44" s="12" t="s">
        <v>11</v>
      </c>
      <c r="B44" s="3"/>
      <c r="C44" s="7">
        <v>99142</v>
      </c>
      <c r="D44" s="7">
        <v>101678</v>
      </c>
      <c r="E44" s="7">
        <v>93334</v>
      </c>
      <c r="F44" s="7">
        <v>59270</v>
      </c>
      <c r="G44" s="7">
        <v>32508</v>
      </c>
      <c r="H44" s="7">
        <v>38730</v>
      </c>
    </row>
    <row r="45" spans="1:8" x14ac:dyDescent="0.3">
      <c r="A45" s="12" t="s">
        <v>28</v>
      </c>
      <c r="B45" s="3"/>
      <c r="C45" s="7">
        <v>70736</v>
      </c>
      <c r="D45" s="7">
        <v>64534</v>
      </c>
      <c r="E45" s="7">
        <v>68150</v>
      </c>
      <c r="F45" s="7">
        <v>65374</v>
      </c>
      <c r="G45" s="7">
        <v>35852</v>
      </c>
      <c r="H45" s="7">
        <v>36478</v>
      </c>
    </row>
    <row r="46" spans="1:8" x14ac:dyDescent="0.3">
      <c r="A46" s="12" t="s">
        <v>5</v>
      </c>
      <c r="B46" s="1"/>
      <c r="C46" s="6">
        <v>34956</v>
      </c>
      <c r="D46" s="6">
        <v>37815</v>
      </c>
      <c r="E46" s="6">
        <v>33135</v>
      </c>
      <c r="F46" s="6">
        <v>33787</v>
      </c>
      <c r="G46" s="6">
        <v>14249</v>
      </c>
      <c r="H46" s="7">
        <v>13773</v>
      </c>
    </row>
    <row r="47" spans="1:8" x14ac:dyDescent="0.3">
      <c r="A47" s="12" t="s">
        <v>6</v>
      </c>
      <c r="B47" s="1"/>
      <c r="C47" s="6">
        <v>8415</v>
      </c>
      <c r="D47" s="6">
        <v>7548</v>
      </c>
      <c r="E47" s="6">
        <v>7134</v>
      </c>
      <c r="F47" s="6">
        <v>7457</v>
      </c>
      <c r="G47" s="6">
        <v>4486</v>
      </c>
      <c r="H47" s="6">
        <v>4505</v>
      </c>
    </row>
    <row r="48" spans="1:8" x14ac:dyDescent="0.3">
      <c r="A48" s="12" t="s">
        <v>29</v>
      </c>
      <c r="B48" s="3"/>
      <c r="C48" s="7">
        <v>60626</v>
      </c>
      <c r="D48" s="7">
        <v>66065</v>
      </c>
      <c r="E48" s="7">
        <v>69963</v>
      </c>
      <c r="F48" s="7">
        <v>57551</v>
      </c>
      <c r="G48" s="7">
        <v>43299</v>
      </c>
      <c r="H48" s="7">
        <v>43688</v>
      </c>
    </row>
    <row r="49" spans="1:8" x14ac:dyDescent="0.3">
      <c r="A49" s="12" t="s">
        <v>7</v>
      </c>
      <c r="B49" s="1"/>
      <c r="C49" s="6">
        <v>12018</v>
      </c>
      <c r="D49" s="6">
        <v>33365</v>
      </c>
      <c r="E49" s="6">
        <v>38203</v>
      </c>
      <c r="F49" s="6">
        <v>30889</v>
      </c>
      <c r="G49" s="6">
        <v>15243</v>
      </c>
      <c r="H49" s="7">
        <v>17918</v>
      </c>
    </row>
    <row r="50" spans="1:8" x14ac:dyDescent="0.3">
      <c r="A50" s="12"/>
      <c r="B50" s="1"/>
      <c r="C50" s="6"/>
      <c r="D50" s="6"/>
      <c r="E50" s="6"/>
      <c r="F50" s="6"/>
      <c r="G50" s="6"/>
      <c r="H50" s="7"/>
    </row>
    <row r="51" spans="1:8" x14ac:dyDescent="0.3">
      <c r="A51" s="4" t="s">
        <v>93</v>
      </c>
      <c r="B51" s="1"/>
      <c r="C51" s="8"/>
      <c r="D51" s="8"/>
      <c r="E51" s="8"/>
      <c r="F51" s="8"/>
      <c r="G51" s="8"/>
      <c r="H51" s="8"/>
    </row>
    <row r="52" spans="1:8" x14ac:dyDescent="0.3">
      <c r="A52" s="12" t="s">
        <v>94</v>
      </c>
      <c r="B52" s="11" t="s">
        <v>95</v>
      </c>
      <c r="C52" s="8">
        <f>C45-C48</f>
        <v>10110</v>
      </c>
      <c r="D52" s="8">
        <f t="shared" ref="D52:G52" si="12">D45-D48</f>
        <v>-1531</v>
      </c>
      <c r="E52" s="8">
        <f t="shared" si="12"/>
        <v>-1813</v>
      </c>
      <c r="F52" s="8">
        <f t="shared" si="12"/>
        <v>7823</v>
      </c>
      <c r="G52" s="8">
        <f t="shared" si="12"/>
        <v>-7447</v>
      </c>
      <c r="H52" s="8">
        <f>H45-H48</f>
        <v>-7210</v>
      </c>
    </row>
    <row r="53" spans="1:8" x14ac:dyDescent="0.3">
      <c r="A53" s="12" t="s">
        <v>96</v>
      </c>
      <c r="B53" s="11" t="s">
        <v>103</v>
      </c>
      <c r="C53" s="8">
        <f>(C46+D46)/2</f>
        <v>36385.5</v>
      </c>
      <c r="D53" s="8">
        <f>(D46+E46)/2</f>
        <v>35475</v>
      </c>
      <c r="E53" s="8">
        <f>(E46+F46)/2</f>
        <v>33461</v>
      </c>
      <c r="F53" s="8">
        <f>(F46+G46)/2</f>
        <v>24018</v>
      </c>
      <c r="G53" s="8">
        <f>(G46+H46)/2</f>
        <v>14011</v>
      </c>
      <c r="H53" s="8"/>
    </row>
    <row r="54" spans="1:8" x14ac:dyDescent="0.3">
      <c r="A54" s="12" t="s">
        <v>97</v>
      </c>
      <c r="B54" s="11" t="s">
        <v>104</v>
      </c>
      <c r="C54" s="2">
        <f>(C47+D47)/2</f>
        <v>7981.5</v>
      </c>
      <c r="D54" s="2">
        <f t="shared" ref="D54:G54" si="13">(D47+E47)/2</f>
        <v>7341</v>
      </c>
      <c r="E54" s="2">
        <f t="shared" si="13"/>
        <v>7295.5</v>
      </c>
      <c r="F54" s="2">
        <f t="shared" si="13"/>
        <v>5971.5</v>
      </c>
      <c r="G54" s="2">
        <f t="shared" si="13"/>
        <v>4495.5</v>
      </c>
    </row>
    <row r="55" spans="1:8" x14ac:dyDescent="0.3">
      <c r="A55" s="12" t="s">
        <v>98</v>
      </c>
      <c r="B55" s="11" t="s">
        <v>102</v>
      </c>
      <c r="C55" s="8">
        <f>(C49+D49)/2</f>
        <v>22691.5</v>
      </c>
      <c r="D55" s="8">
        <f t="shared" ref="D55:G55" si="14">(D49+E49)/2</f>
        <v>35784</v>
      </c>
      <c r="E55" s="8">
        <f t="shared" si="14"/>
        <v>34546</v>
      </c>
      <c r="F55" s="8">
        <f t="shared" si="14"/>
        <v>23066</v>
      </c>
      <c r="G55" s="8">
        <f t="shared" si="14"/>
        <v>16580.5</v>
      </c>
      <c r="H55" s="8"/>
    </row>
    <row r="56" spans="1:8" x14ac:dyDescent="0.3">
      <c r="A56" s="12" t="s">
        <v>105</v>
      </c>
      <c r="B56" s="11" t="s">
        <v>99</v>
      </c>
      <c r="C56" s="8">
        <f>(C53/C44)*365</f>
        <v>133.95642109297776</v>
      </c>
      <c r="D56" s="8">
        <f t="shared" ref="D56:F56" si="15">(D53/D44)*365</f>
        <v>127.34686952929837</v>
      </c>
      <c r="E56" s="8">
        <f t="shared" si="15"/>
        <v>130.85547603231407</v>
      </c>
      <c r="F56" s="8">
        <f t="shared" si="15"/>
        <v>147.90906023283281</v>
      </c>
      <c r="G56" s="8">
        <f>(G53/G44)*365</f>
        <v>157.31558385628153</v>
      </c>
      <c r="H56" s="8"/>
    </row>
    <row r="57" spans="1:8" x14ac:dyDescent="0.3">
      <c r="A57" s="12" t="s">
        <v>106</v>
      </c>
      <c r="B57" s="11" t="s">
        <v>100</v>
      </c>
      <c r="C57" s="8">
        <f>(C54/C43)*365</f>
        <v>17.256121759939344</v>
      </c>
      <c r="D57" s="8">
        <f>(D54/D43)*365</f>
        <v>15.310703633018296</v>
      </c>
      <c r="E57" s="8">
        <f>(E54/E43)*365</f>
        <v>16.045176548565919</v>
      </c>
      <c r="F57" s="8">
        <f>(F54/F43)*365</f>
        <v>14.890910767843357</v>
      </c>
      <c r="G57" s="8">
        <f>(G54/G43)*365</f>
        <v>20.552079810618871</v>
      </c>
      <c r="H57" s="8"/>
    </row>
    <row r="58" spans="1:8" x14ac:dyDescent="0.3">
      <c r="A58" s="12" t="s">
        <v>107</v>
      </c>
      <c r="B58" s="11" t="s">
        <v>101</v>
      </c>
      <c r="C58" s="8">
        <f>(C55/C44)*365</f>
        <v>83.540754675112467</v>
      </c>
      <c r="D58" s="8">
        <f>(D55/D44)*365</f>
        <v>128.45610653238654</v>
      </c>
      <c r="E58" s="8">
        <f t="shared" ref="E58:G58" si="16">(E55/E44)*365</f>
        <v>135.09857072449483</v>
      </c>
      <c r="F58" s="8">
        <f t="shared" si="16"/>
        <v>142.04639784039142</v>
      </c>
      <c r="G58" s="8">
        <f t="shared" si="16"/>
        <v>186.16594376768793</v>
      </c>
      <c r="H58" s="8"/>
    </row>
    <row r="59" spans="1:8" x14ac:dyDescent="0.3">
      <c r="A59" s="12" t="s">
        <v>109</v>
      </c>
      <c r="B59" s="11" t="s">
        <v>108</v>
      </c>
      <c r="C59" s="8">
        <f>C56+C57-C58</f>
        <v>67.671788177804629</v>
      </c>
      <c r="D59" s="8">
        <f t="shared" ref="D59:G59" si="17">D56+D57-D58</f>
        <v>14.201466629930138</v>
      </c>
      <c r="E59" s="8">
        <f t="shared" si="17"/>
        <v>11.802081856385144</v>
      </c>
      <c r="F59" s="8">
        <f t="shared" si="17"/>
        <v>20.753573160284759</v>
      </c>
      <c r="G59" s="8">
        <f t="shared" si="17"/>
        <v>-8.2982801007875366</v>
      </c>
      <c r="H59" s="8"/>
    </row>
    <row r="60" spans="1:8" x14ac:dyDescent="0.3">
      <c r="A60" s="14"/>
      <c r="B60" s="2"/>
      <c r="C60" s="2"/>
      <c r="D60" s="2"/>
      <c r="E60" s="2"/>
      <c r="F60" s="2"/>
      <c r="G60" s="2"/>
      <c r="H60" s="2"/>
    </row>
    <row r="61" spans="1:8" x14ac:dyDescent="0.3">
      <c r="A61" s="26" t="s">
        <v>61</v>
      </c>
      <c r="B61" s="26"/>
      <c r="C61" s="26"/>
      <c r="D61" s="26"/>
      <c r="E61" s="26"/>
      <c r="F61" s="26"/>
      <c r="G61" s="26"/>
      <c r="H61" s="26"/>
    </row>
    <row r="62" spans="1:8" x14ac:dyDescent="0.3">
      <c r="A62" s="11" t="s">
        <v>10</v>
      </c>
      <c r="B62" s="1"/>
      <c r="C62" s="1" t="s">
        <v>0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12</v>
      </c>
    </row>
    <row r="63" spans="1:8" x14ac:dyDescent="0.3">
      <c r="A63" s="12" t="s">
        <v>8</v>
      </c>
      <c r="B63" s="3"/>
      <c r="C63" s="6">
        <v>152968</v>
      </c>
      <c r="D63" s="6">
        <v>143727</v>
      </c>
      <c r="E63" s="6">
        <v>147308</v>
      </c>
      <c r="F63" s="6">
        <v>132732</v>
      </c>
      <c r="G63" s="6">
        <v>88021</v>
      </c>
      <c r="H63" s="6">
        <v>84447</v>
      </c>
    </row>
    <row r="64" spans="1:8" x14ac:dyDescent="0.3">
      <c r="A64" s="12" t="s">
        <v>11</v>
      </c>
      <c r="B64" s="3"/>
      <c r="C64" s="6">
        <v>49022</v>
      </c>
      <c r="D64" s="6">
        <v>44407</v>
      </c>
      <c r="E64" s="6">
        <v>44150</v>
      </c>
      <c r="F64" s="6">
        <v>56420</v>
      </c>
      <c r="G64" s="6">
        <v>37356</v>
      </c>
      <c r="H64" s="7">
        <v>39109</v>
      </c>
    </row>
    <row r="65" spans="1:8" x14ac:dyDescent="0.3">
      <c r="A65" s="12" t="s">
        <v>28</v>
      </c>
      <c r="B65" s="3"/>
      <c r="C65" s="6">
        <v>51765</v>
      </c>
      <c r="D65" s="6">
        <v>51924</v>
      </c>
      <c r="E65" s="6">
        <v>60507</v>
      </c>
      <c r="F65" s="6">
        <v>68575</v>
      </c>
      <c r="G65" s="6">
        <v>56192</v>
      </c>
      <c r="H65" s="7">
        <v>57520</v>
      </c>
    </row>
    <row r="66" spans="1:8" x14ac:dyDescent="0.3">
      <c r="A66" s="12" t="s">
        <v>5</v>
      </c>
      <c r="B66" s="1"/>
      <c r="C66" s="6">
        <v>14474</v>
      </c>
      <c r="D66" s="6">
        <v>13001</v>
      </c>
      <c r="E66" s="6">
        <v>15012</v>
      </c>
      <c r="F66" s="6">
        <v>14313</v>
      </c>
      <c r="G66" s="6">
        <v>9923</v>
      </c>
      <c r="H66" s="6">
        <v>11335</v>
      </c>
    </row>
    <row r="67" spans="1:8" x14ac:dyDescent="0.3">
      <c r="A67" s="12" t="s">
        <v>6</v>
      </c>
      <c r="B67" s="1"/>
      <c r="C67" s="6">
        <v>3636</v>
      </c>
      <c r="D67" s="6">
        <v>3607</v>
      </c>
      <c r="E67" s="6">
        <v>4014</v>
      </c>
      <c r="F67" s="6">
        <v>4946</v>
      </c>
      <c r="G67" s="6">
        <v>3491</v>
      </c>
      <c r="H67" s="6">
        <v>2697</v>
      </c>
    </row>
    <row r="68" spans="1:8" x14ac:dyDescent="0.3">
      <c r="A68" s="12" t="s">
        <v>29</v>
      </c>
      <c r="B68" s="3"/>
      <c r="C68" s="6">
        <v>73575</v>
      </c>
      <c r="D68" s="6">
        <v>78661</v>
      </c>
      <c r="E68" s="6">
        <v>88026</v>
      </c>
      <c r="F68" s="6">
        <v>65713</v>
      </c>
      <c r="G68" s="6">
        <v>59124</v>
      </c>
      <c r="H68" s="7">
        <v>63322</v>
      </c>
    </row>
    <row r="69" spans="1:8" x14ac:dyDescent="0.3">
      <c r="A69" s="12" t="s">
        <v>7</v>
      </c>
      <c r="B69" s="1"/>
      <c r="C69" s="6">
        <v>10195</v>
      </c>
      <c r="D69" s="6">
        <v>10095</v>
      </c>
      <c r="E69" s="6">
        <v>11043</v>
      </c>
      <c r="F69" s="6">
        <v>21531</v>
      </c>
      <c r="G69" s="6">
        <v>7892</v>
      </c>
      <c r="H69" s="6">
        <v>8027</v>
      </c>
    </row>
    <row r="70" spans="1:8" x14ac:dyDescent="0.3">
      <c r="A70" s="14"/>
      <c r="B70" s="2"/>
      <c r="C70" s="2"/>
      <c r="D70" s="2"/>
      <c r="E70" s="2"/>
      <c r="F70" s="2"/>
      <c r="G70" s="2"/>
      <c r="H70" s="2"/>
    </row>
    <row r="71" spans="1:8" x14ac:dyDescent="0.3">
      <c r="A71" s="4" t="s">
        <v>93</v>
      </c>
      <c r="B71" s="1"/>
      <c r="C71" s="8"/>
      <c r="D71" s="8"/>
      <c r="E71" s="8"/>
      <c r="F71" s="8"/>
      <c r="G71" s="8"/>
      <c r="H71" s="8"/>
    </row>
    <row r="72" spans="1:8" x14ac:dyDescent="0.3">
      <c r="A72" s="12" t="s">
        <v>94</v>
      </c>
      <c r="B72" s="11" t="s">
        <v>95</v>
      </c>
      <c r="C72" s="8">
        <f>C65-C68</f>
        <v>-21810</v>
      </c>
      <c r="D72" s="8">
        <f t="shared" ref="D72:G72" si="18">D65-D68</f>
        <v>-26737</v>
      </c>
      <c r="E72" s="8">
        <f t="shared" si="18"/>
        <v>-27519</v>
      </c>
      <c r="F72" s="8">
        <f t="shared" si="18"/>
        <v>2862</v>
      </c>
      <c r="G72" s="8">
        <f t="shared" si="18"/>
        <v>-2932</v>
      </c>
      <c r="H72" s="8">
        <f>H65-H68</f>
        <v>-5802</v>
      </c>
    </row>
    <row r="73" spans="1:8" x14ac:dyDescent="0.3">
      <c r="A73" s="12" t="s">
        <v>96</v>
      </c>
      <c r="B73" s="11" t="s">
        <v>103</v>
      </c>
      <c r="C73" s="8">
        <f>(C66+D66)/2</f>
        <v>13737.5</v>
      </c>
      <c r="D73" s="8">
        <f>(D66+E66)/2</f>
        <v>14006.5</v>
      </c>
      <c r="E73" s="8">
        <f>(E66+F66)/2</f>
        <v>14662.5</v>
      </c>
      <c r="F73" s="8">
        <f>(F66+G66)/2</f>
        <v>12118</v>
      </c>
      <c r="G73" s="8">
        <f>(G66+H66)/2</f>
        <v>10629</v>
      </c>
      <c r="H73" s="8"/>
    </row>
    <row r="74" spans="1:8" x14ac:dyDescent="0.3">
      <c r="A74" s="12" t="s">
        <v>97</v>
      </c>
      <c r="B74" s="11" t="s">
        <v>104</v>
      </c>
      <c r="C74" s="2">
        <f>(C67+D67)/2</f>
        <v>3621.5</v>
      </c>
      <c r="D74" s="2">
        <f t="shared" ref="D74:G74" si="19">(D67+E67)/2</f>
        <v>3810.5</v>
      </c>
      <c r="E74" s="2">
        <f t="shared" si="19"/>
        <v>4480</v>
      </c>
      <c r="F74" s="2">
        <f t="shared" si="19"/>
        <v>4218.5</v>
      </c>
      <c r="G74" s="2">
        <f t="shared" si="19"/>
        <v>3094</v>
      </c>
    </row>
    <row r="75" spans="1:8" x14ac:dyDescent="0.3">
      <c r="A75" s="12" t="s">
        <v>98</v>
      </c>
      <c r="B75" s="11" t="s">
        <v>102</v>
      </c>
      <c r="C75" s="8">
        <f>(C69+D69)/2</f>
        <v>10145</v>
      </c>
      <c r="D75" s="8">
        <f t="shared" ref="D75:G75" si="20">(D69+E69)/2</f>
        <v>10569</v>
      </c>
      <c r="E75" s="8">
        <f t="shared" si="20"/>
        <v>16287</v>
      </c>
      <c r="F75" s="8">
        <f t="shared" si="20"/>
        <v>14711.5</v>
      </c>
      <c r="G75" s="8">
        <f t="shared" si="20"/>
        <v>7959.5</v>
      </c>
      <c r="H75" s="8"/>
    </row>
    <row r="76" spans="1:8" x14ac:dyDescent="0.3">
      <c r="A76" s="12" t="s">
        <v>105</v>
      </c>
      <c r="B76" s="11" t="s">
        <v>99</v>
      </c>
      <c r="C76" s="8">
        <f>(C73/C64)*365</f>
        <v>102.28443351964424</v>
      </c>
      <c r="D76" s="8">
        <f t="shared" ref="D76:F76" si="21">(D73/D64)*365</f>
        <v>115.12537437791339</v>
      </c>
      <c r="E76" s="8">
        <f t="shared" si="21"/>
        <v>121.21885617214043</v>
      </c>
      <c r="F76" s="8">
        <f t="shared" si="21"/>
        <v>78.395427153491667</v>
      </c>
      <c r="G76" s="8">
        <f>(G73/G64)*365</f>
        <v>103.85440089945389</v>
      </c>
      <c r="H76" s="8"/>
    </row>
    <row r="77" spans="1:8" x14ac:dyDescent="0.3">
      <c r="A77" s="12" t="s">
        <v>106</v>
      </c>
      <c r="B77" s="11" t="s">
        <v>100</v>
      </c>
      <c r="C77" s="8">
        <f>(C74/C63)*365</f>
        <v>8.6413334815124738</v>
      </c>
      <c r="D77" s="8">
        <f>(D74/D63)*365</f>
        <v>9.6769048265113717</v>
      </c>
      <c r="E77" s="8">
        <f>(E74/E63)*365</f>
        <v>11.100551226002661</v>
      </c>
      <c r="F77" s="8">
        <f>(F74/F63)*365</f>
        <v>11.600461832866227</v>
      </c>
      <c r="G77" s="8">
        <f>(G74/G63)*365</f>
        <v>12.830006475727384</v>
      </c>
      <c r="H77" s="8"/>
    </row>
    <row r="78" spans="1:8" x14ac:dyDescent="0.3">
      <c r="A78" s="12" t="s">
        <v>107</v>
      </c>
      <c r="B78" s="11" t="s">
        <v>101</v>
      </c>
      <c r="C78" s="8">
        <f>(C75/C64)*365</f>
        <v>75.535983843988419</v>
      </c>
      <c r="D78" s="8">
        <f>(D75/D64)*365</f>
        <v>86.87110140293197</v>
      </c>
      <c r="E78" s="8">
        <f t="shared" ref="E78:G78" si="22">(E75/E64)*365</f>
        <v>134.64903737259343</v>
      </c>
      <c r="F78" s="8">
        <f t="shared" si="22"/>
        <v>95.173652959943269</v>
      </c>
      <c r="G78" s="8">
        <f t="shared" si="22"/>
        <v>77.771107720312671</v>
      </c>
      <c r="H78" s="8"/>
    </row>
    <row r="79" spans="1:8" x14ac:dyDescent="0.3">
      <c r="A79" s="12" t="s">
        <v>109</v>
      </c>
      <c r="B79" s="11" t="s">
        <v>108</v>
      </c>
      <c r="C79" s="8">
        <f>C76+C77-C78</f>
        <v>35.389783157168296</v>
      </c>
      <c r="D79" s="8">
        <f t="shared" ref="D79:G79" si="23">D76+D77-D78</f>
        <v>37.931177801492794</v>
      </c>
      <c r="E79" s="8">
        <f t="shared" si="23"/>
        <v>-2.3296299744503415</v>
      </c>
      <c r="F79" s="8">
        <f t="shared" si="23"/>
        <v>-5.1777639735853711</v>
      </c>
      <c r="G79" s="8">
        <f t="shared" si="23"/>
        <v>38.913299654868609</v>
      </c>
      <c r="H79" s="8"/>
    </row>
    <row r="80" spans="1:8" x14ac:dyDescent="0.3">
      <c r="A80" s="14"/>
      <c r="B80" s="2"/>
      <c r="C80" s="2"/>
      <c r="D80" s="2"/>
      <c r="E80" s="2"/>
      <c r="F80" s="2"/>
      <c r="G80" s="2"/>
      <c r="H80" s="2"/>
    </row>
    <row r="81" spans="1:8" x14ac:dyDescent="0.3">
      <c r="A81" s="26" t="s">
        <v>47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11" t="s">
        <v>10</v>
      </c>
      <c r="B82" s="1"/>
      <c r="C82" s="1" t="s">
        <v>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12</v>
      </c>
    </row>
    <row r="83" spans="1:8" x14ac:dyDescent="0.3">
      <c r="A83" s="12" t="s">
        <v>8</v>
      </c>
      <c r="B83" s="3"/>
      <c r="C83" s="6">
        <v>102479.06</v>
      </c>
      <c r="D83" s="6">
        <v>105378.33</v>
      </c>
      <c r="E83" s="6">
        <v>104447.72</v>
      </c>
      <c r="F83" s="6">
        <v>103476.84</v>
      </c>
      <c r="G83" s="6">
        <v>69113.61</v>
      </c>
      <c r="H83" s="7">
        <v>61664.160000000003</v>
      </c>
    </row>
    <row r="84" spans="1:8" x14ac:dyDescent="0.3">
      <c r="A84" s="12" t="s">
        <v>11</v>
      </c>
      <c r="B84" s="3"/>
      <c r="C84" s="6">
        <v>50997.19</v>
      </c>
      <c r="D84" s="6">
        <v>54354.490000000005</v>
      </c>
      <c r="E84" s="6">
        <v>57025.200000000004</v>
      </c>
      <c r="F84" s="6">
        <v>42610.58</v>
      </c>
      <c r="G84" s="6">
        <v>27490.23</v>
      </c>
      <c r="H84" s="7">
        <f>29371.73-5577.63</f>
        <v>23794.1</v>
      </c>
    </row>
    <row r="85" spans="1:8" x14ac:dyDescent="0.3">
      <c r="A85" s="12" t="s">
        <v>28</v>
      </c>
      <c r="B85" s="2"/>
      <c r="C85" s="7">
        <v>46480.36</v>
      </c>
      <c r="D85" s="7">
        <v>52762.98</v>
      </c>
      <c r="E85" s="7">
        <v>42629.91</v>
      </c>
      <c r="F85" s="7">
        <v>33445.89</v>
      </c>
      <c r="G85" s="7">
        <v>36420.47</v>
      </c>
      <c r="H85" s="7">
        <v>41125.46</v>
      </c>
    </row>
    <row r="86" spans="1:8" x14ac:dyDescent="0.3">
      <c r="A86" s="12" t="s">
        <v>5</v>
      </c>
      <c r="B86" s="1"/>
      <c r="C86" s="6">
        <v>33743.33</v>
      </c>
      <c r="D86" s="6">
        <v>37346.74</v>
      </c>
      <c r="E86" s="6">
        <v>32400.19</v>
      </c>
      <c r="F86" s="6">
        <v>24166.73</v>
      </c>
      <c r="G86" s="6">
        <v>19570.43</v>
      </c>
      <c r="H86" s="6">
        <v>23836.27</v>
      </c>
    </row>
    <row r="87" spans="1:8" x14ac:dyDescent="0.3">
      <c r="A87" s="12" t="s">
        <v>6</v>
      </c>
      <c r="B87" s="1"/>
      <c r="C87" s="6">
        <v>7609.94</v>
      </c>
      <c r="D87" s="6">
        <v>8355.3700000000008</v>
      </c>
      <c r="E87" s="6">
        <v>5389.97</v>
      </c>
      <c r="F87" s="6">
        <v>4770.8500000000004</v>
      </c>
      <c r="G87" s="6">
        <v>7153.7</v>
      </c>
      <c r="H87" s="6">
        <v>8844.73</v>
      </c>
    </row>
    <row r="88" spans="1:8" x14ac:dyDescent="0.3">
      <c r="A88" s="12" t="s">
        <v>29</v>
      </c>
      <c r="B88" s="2"/>
      <c r="C88" s="7">
        <v>46190.09</v>
      </c>
      <c r="D88" s="7">
        <v>53464.42</v>
      </c>
      <c r="E88" s="7">
        <v>49334.28</v>
      </c>
      <c r="F88" s="7">
        <v>39342.92</v>
      </c>
      <c r="G88" s="7">
        <v>46497.63</v>
      </c>
      <c r="H88" s="7">
        <v>44964.84</v>
      </c>
    </row>
    <row r="89" spans="1:8" x14ac:dyDescent="0.3">
      <c r="A89" s="12" t="s">
        <v>7</v>
      </c>
      <c r="B89" s="1"/>
      <c r="C89" s="6">
        <v>10503.99</v>
      </c>
      <c r="D89" s="6">
        <v>15332.39</v>
      </c>
      <c r="E89" s="6">
        <v>14341.7</v>
      </c>
      <c r="F89" s="6">
        <v>16921.830000000002</v>
      </c>
      <c r="G89" s="6">
        <v>7015</v>
      </c>
      <c r="H89" s="7">
        <v>6322.37</v>
      </c>
    </row>
    <row r="90" spans="1:8" x14ac:dyDescent="0.3">
      <c r="A90" s="12"/>
      <c r="B90" s="1"/>
      <c r="C90" s="6"/>
      <c r="D90" s="6"/>
      <c r="E90" s="6"/>
      <c r="F90" s="6"/>
      <c r="G90" s="6"/>
      <c r="H90" s="7"/>
    </row>
    <row r="91" spans="1:8" x14ac:dyDescent="0.3">
      <c r="A91" s="4" t="s">
        <v>93</v>
      </c>
      <c r="B91" s="1"/>
      <c r="C91" s="8"/>
      <c r="D91" s="8"/>
      <c r="E91" s="8"/>
      <c r="F91" s="8"/>
      <c r="G91" s="8"/>
      <c r="H91" s="8"/>
    </row>
    <row r="92" spans="1:8" x14ac:dyDescent="0.3">
      <c r="A92" s="12" t="s">
        <v>94</v>
      </c>
      <c r="B92" s="11" t="s">
        <v>95</v>
      </c>
      <c r="C92" s="8">
        <f>C85-C88</f>
        <v>290.27000000000407</v>
      </c>
      <c r="D92" s="8">
        <f t="shared" ref="D92:G92" si="24">D85-D88</f>
        <v>-701.43999999999505</v>
      </c>
      <c r="E92" s="8">
        <f t="shared" si="24"/>
        <v>-6704.3699999999953</v>
      </c>
      <c r="F92" s="8">
        <f t="shared" si="24"/>
        <v>-5897.0299999999988</v>
      </c>
      <c r="G92" s="8">
        <f t="shared" si="24"/>
        <v>-10077.159999999996</v>
      </c>
      <c r="H92" s="8">
        <f>H85-H88</f>
        <v>-3839.3799999999974</v>
      </c>
    </row>
    <row r="93" spans="1:8" x14ac:dyDescent="0.3">
      <c r="A93" s="12" t="s">
        <v>96</v>
      </c>
      <c r="B93" s="11" t="s">
        <v>103</v>
      </c>
      <c r="C93" s="8">
        <f>(C86+D86)/2</f>
        <v>35545.035000000003</v>
      </c>
      <c r="D93" s="8">
        <f>(D86+E86)/2</f>
        <v>34873.464999999997</v>
      </c>
      <c r="E93" s="8">
        <f>(E86+F86)/2</f>
        <v>28283.46</v>
      </c>
      <c r="F93" s="8">
        <f>(F86+G86)/2</f>
        <v>21868.58</v>
      </c>
      <c r="G93" s="8">
        <f>(G86+H86)/2</f>
        <v>21703.35</v>
      </c>
      <c r="H93" s="8"/>
    </row>
    <row r="94" spans="1:8" x14ac:dyDescent="0.3">
      <c r="A94" s="12" t="s">
        <v>97</v>
      </c>
      <c r="B94" s="11" t="s">
        <v>104</v>
      </c>
      <c r="C94" s="2">
        <f>(C87+D87)/2</f>
        <v>7982.6550000000007</v>
      </c>
      <c r="D94" s="2">
        <f t="shared" ref="D94:G94" si="25">(D87+E87)/2</f>
        <v>6872.67</v>
      </c>
      <c r="E94" s="2">
        <f t="shared" si="25"/>
        <v>5080.41</v>
      </c>
      <c r="F94" s="2">
        <f t="shared" si="25"/>
        <v>5962.2749999999996</v>
      </c>
      <c r="G94" s="2">
        <f t="shared" si="25"/>
        <v>7999.2150000000001</v>
      </c>
    </row>
    <row r="95" spans="1:8" x14ac:dyDescent="0.3">
      <c r="A95" s="12" t="s">
        <v>98</v>
      </c>
      <c r="B95" s="11" t="s">
        <v>102</v>
      </c>
      <c r="C95" s="8">
        <f>(C89+D89)/2</f>
        <v>12918.189999999999</v>
      </c>
      <c r="D95" s="8">
        <f t="shared" ref="D95:G95" si="26">(D89+E89)/2</f>
        <v>14837.045</v>
      </c>
      <c r="E95" s="8">
        <f t="shared" si="26"/>
        <v>15631.765000000001</v>
      </c>
      <c r="F95" s="8">
        <f t="shared" si="26"/>
        <v>11968.415000000001</v>
      </c>
      <c r="G95" s="8">
        <f t="shared" si="26"/>
        <v>6668.6849999999995</v>
      </c>
      <c r="H95" s="8"/>
    </row>
    <row r="96" spans="1:8" x14ac:dyDescent="0.3">
      <c r="A96" s="12" t="s">
        <v>105</v>
      </c>
      <c r="B96" s="11" t="s">
        <v>99</v>
      </c>
      <c r="C96" s="8">
        <f>(C93/C84)*365</f>
        <v>254.40495397883689</v>
      </c>
      <c r="D96" s="8">
        <f t="shared" ref="D96:F96" si="27">(D93/D84)*365</f>
        <v>234.18147654407201</v>
      </c>
      <c r="E96" s="8">
        <f t="shared" si="27"/>
        <v>181.03334841438519</v>
      </c>
      <c r="F96" s="8">
        <f t="shared" si="27"/>
        <v>187.32511268328193</v>
      </c>
      <c r="G96" s="8">
        <f>(G93/G84)*365</f>
        <v>288.16502262803908</v>
      </c>
      <c r="H96" s="8"/>
    </row>
    <row r="97" spans="1:8" x14ac:dyDescent="0.3">
      <c r="A97" s="12" t="s">
        <v>106</v>
      </c>
      <c r="B97" s="11" t="s">
        <v>100</v>
      </c>
      <c r="C97" s="8">
        <f>(C94/C83)*365</f>
        <v>28.431848174641729</v>
      </c>
      <c r="D97" s="8">
        <f>(D94/D83)*365</f>
        <v>23.80493740980712</v>
      </c>
      <c r="E97" s="8">
        <f>(E94/E83)*365</f>
        <v>17.753854751448856</v>
      </c>
      <c r="F97" s="8">
        <f>(F94/F83)*365</f>
        <v>21.031086521389714</v>
      </c>
      <c r="G97" s="8">
        <f>(G94/G83)*365</f>
        <v>42.245130517708454</v>
      </c>
      <c r="H97" s="8"/>
    </row>
    <row r="98" spans="1:8" x14ac:dyDescent="0.3">
      <c r="A98" s="12" t="s">
        <v>107</v>
      </c>
      <c r="B98" s="11" t="s">
        <v>101</v>
      </c>
      <c r="C98" s="8">
        <f>(C95/C84)*365</f>
        <v>92.458807044074376</v>
      </c>
      <c r="D98" s="8">
        <f>(D95/D84)*365</f>
        <v>99.633377573775391</v>
      </c>
      <c r="E98" s="8">
        <f t="shared" ref="E98:G98" si="28">(E95/E84)*365</f>
        <v>100.05390993806247</v>
      </c>
      <c r="F98" s="8">
        <f t="shared" si="28"/>
        <v>102.5208170130517</v>
      </c>
      <c r="G98" s="8">
        <f t="shared" si="28"/>
        <v>88.543094219291731</v>
      </c>
      <c r="H98" s="8"/>
    </row>
    <row r="99" spans="1:8" x14ac:dyDescent="0.3">
      <c r="A99" s="12" t="s">
        <v>109</v>
      </c>
      <c r="B99" s="11" t="s">
        <v>108</v>
      </c>
      <c r="C99" s="8">
        <f>C96+C97-C98</f>
        <v>190.37799510940425</v>
      </c>
      <c r="D99" s="8">
        <f t="shared" ref="D99:G99" si="29">D96+D97-D98</f>
        <v>158.35303638010376</v>
      </c>
      <c r="E99" s="8">
        <f t="shared" si="29"/>
        <v>98.733293227771583</v>
      </c>
      <c r="F99" s="8">
        <f t="shared" si="29"/>
        <v>105.83538219161994</v>
      </c>
      <c r="G99" s="8">
        <f t="shared" si="29"/>
        <v>241.8670589264558</v>
      </c>
      <c r="H99" s="8"/>
    </row>
    <row r="100" spans="1:8" x14ac:dyDescent="0.3">
      <c r="A100" s="14"/>
      <c r="B100" s="2"/>
      <c r="C100" s="2"/>
      <c r="D100" s="2"/>
      <c r="E100" s="2"/>
      <c r="F100" s="2"/>
      <c r="G100" s="2"/>
      <c r="H100" s="2"/>
    </row>
    <row r="101" spans="1:8" x14ac:dyDescent="0.3">
      <c r="A101" s="26" t="s">
        <v>63</v>
      </c>
      <c r="B101" s="26"/>
      <c r="C101" s="26"/>
      <c r="D101" s="26"/>
      <c r="E101" s="26"/>
      <c r="F101" s="26"/>
      <c r="G101" s="26"/>
      <c r="H101" s="26"/>
    </row>
    <row r="102" spans="1:8" x14ac:dyDescent="0.3">
      <c r="A102" s="11" t="s">
        <v>10</v>
      </c>
      <c r="B102" s="1"/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12</v>
      </c>
    </row>
    <row r="103" spans="1:8" x14ac:dyDescent="0.3">
      <c r="A103" s="12" t="s">
        <v>8</v>
      </c>
      <c r="B103" s="3"/>
      <c r="C103" s="6">
        <v>5375.73</v>
      </c>
      <c r="D103" s="6">
        <v>5455.35</v>
      </c>
      <c r="E103" s="6">
        <v>5753.04</v>
      </c>
      <c r="F103" s="6">
        <v>5399.18</v>
      </c>
      <c r="G103" s="6">
        <v>4071.92</v>
      </c>
      <c r="H103" s="6">
        <v>3288.53</v>
      </c>
    </row>
    <row r="104" spans="1:8" x14ac:dyDescent="0.3">
      <c r="A104" s="12" t="s">
        <v>11</v>
      </c>
      <c r="B104" s="3"/>
      <c r="C104" s="6">
        <v>3110.57</v>
      </c>
      <c r="D104" s="6">
        <v>3091.3099999999995</v>
      </c>
      <c r="E104" s="6">
        <v>3481.83</v>
      </c>
      <c r="F104" s="6">
        <v>2391.71</v>
      </c>
      <c r="G104" s="6">
        <v>1847.6</v>
      </c>
      <c r="H104" s="7">
        <f>1681.49+88.08+44.91</f>
        <v>1814.48</v>
      </c>
    </row>
    <row r="105" spans="1:8" x14ac:dyDescent="0.3">
      <c r="A105" s="12" t="s">
        <v>28</v>
      </c>
      <c r="B105" s="3"/>
      <c r="C105" s="6">
        <v>2267.0100000000002</v>
      </c>
      <c r="D105" s="6">
        <v>2406.6999999999998</v>
      </c>
      <c r="E105" s="6">
        <v>2322.75</v>
      </c>
      <c r="F105" s="6">
        <v>2381.0500000000002</v>
      </c>
      <c r="G105" s="6">
        <v>1027.83</v>
      </c>
      <c r="H105" s="7">
        <v>933.2</v>
      </c>
    </row>
    <row r="106" spans="1:8" x14ac:dyDescent="0.3">
      <c r="A106" s="12" t="s">
        <v>5</v>
      </c>
      <c r="B106" s="1"/>
      <c r="C106" s="6">
        <v>931.82</v>
      </c>
      <c r="D106" s="6">
        <v>900.31</v>
      </c>
      <c r="E106" s="6">
        <v>810.79</v>
      </c>
      <c r="F106" s="6">
        <v>873.63</v>
      </c>
      <c r="G106" s="6">
        <v>503.67</v>
      </c>
      <c r="H106" s="6">
        <v>557.4</v>
      </c>
    </row>
    <row r="107" spans="1:8" x14ac:dyDescent="0.3">
      <c r="A107" s="12" t="s">
        <v>6</v>
      </c>
      <c r="B107" s="1"/>
      <c r="C107" s="6">
        <v>132.34</v>
      </c>
      <c r="D107" s="6">
        <v>211.94</v>
      </c>
      <c r="E107" s="6">
        <v>295.74</v>
      </c>
      <c r="F107" s="6">
        <v>349.92</v>
      </c>
      <c r="G107" s="6">
        <v>275.23</v>
      </c>
      <c r="H107" s="6">
        <v>176.78</v>
      </c>
    </row>
    <row r="108" spans="1:8" x14ac:dyDescent="0.3">
      <c r="A108" s="12" t="s">
        <v>29</v>
      </c>
      <c r="B108" s="3"/>
      <c r="C108" s="6">
        <v>938.06</v>
      </c>
      <c r="D108" s="6">
        <v>745.21</v>
      </c>
      <c r="E108" s="6">
        <v>947.65</v>
      </c>
      <c r="F108" s="6">
        <v>1235.04</v>
      </c>
      <c r="G108" s="6">
        <v>409.43</v>
      </c>
      <c r="H108" s="7">
        <v>453.98</v>
      </c>
    </row>
    <row r="109" spans="1:8" x14ac:dyDescent="0.3">
      <c r="A109" s="12" t="s">
        <v>7</v>
      </c>
      <c r="B109" s="1"/>
      <c r="C109" s="6">
        <v>459.94</v>
      </c>
      <c r="D109" s="6">
        <v>529.19000000000005</v>
      </c>
      <c r="E109" s="6">
        <v>524.48</v>
      </c>
      <c r="F109" s="6">
        <v>529.6</v>
      </c>
      <c r="G109" s="6">
        <v>196.19</v>
      </c>
      <c r="H109" s="6">
        <v>178.25</v>
      </c>
    </row>
    <row r="110" spans="1:8" x14ac:dyDescent="0.3">
      <c r="A110" s="12"/>
      <c r="B110" s="1"/>
      <c r="C110" s="6"/>
      <c r="D110" s="6"/>
      <c r="E110" s="6"/>
      <c r="F110" s="6"/>
      <c r="G110" s="6"/>
      <c r="H110" s="6"/>
    </row>
    <row r="111" spans="1:8" x14ac:dyDescent="0.3">
      <c r="A111" s="4" t="s">
        <v>93</v>
      </c>
      <c r="B111" s="1"/>
      <c r="C111" s="8"/>
      <c r="D111" s="8"/>
      <c r="E111" s="8"/>
      <c r="F111" s="8"/>
      <c r="G111" s="8"/>
      <c r="H111" s="8"/>
    </row>
    <row r="112" spans="1:8" x14ac:dyDescent="0.3">
      <c r="A112" s="12" t="s">
        <v>94</v>
      </c>
      <c r="B112" s="11" t="s">
        <v>95</v>
      </c>
      <c r="C112" s="8">
        <f>C105-C108</f>
        <v>1328.9500000000003</v>
      </c>
      <c r="D112" s="8">
        <f t="shared" ref="D112:G112" si="30">D105-D108</f>
        <v>1661.4899999999998</v>
      </c>
      <c r="E112" s="8">
        <f t="shared" si="30"/>
        <v>1375.1</v>
      </c>
      <c r="F112" s="8">
        <f t="shared" si="30"/>
        <v>1146.0100000000002</v>
      </c>
      <c r="G112" s="8">
        <f t="shared" si="30"/>
        <v>618.39999999999986</v>
      </c>
      <c r="H112" s="8">
        <f>H105-H108</f>
        <v>479.22</v>
      </c>
    </row>
    <row r="113" spans="1:8" x14ac:dyDescent="0.3">
      <c r="A113" s="12" t="s">
        <v>96</v>
      </c>
      <c r="B113" s="11" t="s">
        <v>103</v>
      </c>
      <c r="C113" s="8">
        <f>(C106+D106)/2</f>
        <v>916.06500000000005</v>
      </c>
      <c r="D113" s="8">
        <f>(D106+E106)/2</f>
        <v>855.55</v>
      </c>
      <c r="E113" s="8">
        <f>(E106+F106)/2</f>
        <v>842.21</v>
      </c>
      <c r="F113" s="8">
        <f>(F106+G106)/2</f>
        <v>688.65</v>
      </c>
      <c r="G113" s="8">
        <f>(G106+H106)/2</f>
        <v>530.53499999999997</v>
      </c>
      <c r="H113" s="8"/>
    </row>
    <row r="114" spans="1:8" x14ac:dyDescent="0.3">
      <c r="A114" s="12" t="s">
        <v>97</v>
      </c>
      <c r="B114" s="11" t="s">
        <v>104</v>
      </c>
      <c r="C114" s="2">
        <f>(C107+D107)/2</f>
        <v>172.14</v>
      </c>
      <c r="D114" s="2">
        <f t="shared" ref="D114:G114" si="31">(D107+E107)/2</f>
        <v>253.84</v>
      </c>
      <c r="E114" s="2">
        <f t="shared" si="31"/>
        <v>322.83000000000004</v>
      </c>
      <c r="F114" s="2">
        <f t="shared" si="31"/>
        <v>312.57500000000005</v>
      </c>
      <c r="G114" s="2">
        <f t="shared" si="31"/>
        <v>226.005</v>
      </c>
    </row>
    <row r="115" spans="1:8" x14ac:dyDescent="0.3">
      <c r="A115" s="12" t="s">
        <v>98</v>
      </c>
      <c r="B115" s="11" t="s">
        <v>102</v>
      </c>
      <c r="C115" s="8">
        <f>(C109+D109)/2</f>
        <v>494.56500000000005</v>
      </c>
      <c r="D115" s="8">
        <f t="shared" ref="D115:G115" si="32">(D109+E109)/2</f>
        <v>526.83500000000004</v>
      </c>
      <c r="E115" s="8">
        <f t="shared" si="32"/>
        <v>527.04</v>
      </c>
      <c r="F115" s="8">
        <f t="shared" si="32"/>
        <v>362.89499999999998</v>
      </c>
      <c r="G115" s="8">
        <f t="shared" si="32"/>
        <v>187.22</v>
      </c>
      <c r="H115" s="8"/>
    </row>
    <row r="116" spans="1:8" x14ac:dyDescent="0.3">
      <c r="A116" s="12" t="s">
        <v>105</v>
      </c>
      <c r="B116" s="11" t="s">
        <v>99</v>
      </c>
      <c r="C116" s="8">
        <f>(C113/C104)*365</f>
        <v>107.49275052482344</v>
      </c>
      <c r="D116" s="8">
        <f t="shared" ref="D116:F116" si="33">(D113/D104)*365</f>
        <v>101.01728716951715</v>
      </c>
      <c r="E116" s="8">
        <f t="shared" si="33"/>
        <v>88.288816513155453</v>
      </c>
      <c r="F116" s="8">
        <f t="shared" si="33"/>
        <v>105.09520384996509</v>
      </c>
      <c r="G116" s="8">
        <f>(G113/G104)*365</f>
        <v>104.80909017103269</v>
      </c>
      <c r="H116" s="8"/>
    </row>
    <row r="117" spans="1:8" x14ac:dyDescent="0.3">
      <c r="A117" s="12" t="s">
        <v>106</v>
      </c>
      <c r="B117" s="11" t="s">
        <v>100</v>
      </c>
      <c r="C117" s="8">
        <f>(C114/C103)*365</f>
        <v>11.687919594176046</v>
      </c>
      <c r="D117" s="8">
        <f>(D114/D103)*365</f>
        <v>16.983621582483249</v>
      </c>
      <c r="E117" s="8">
        <f>(E114/E103)*365</f>
        <v>20.481858287096912</v>
      </c>
      <c r="F117" s="8">
        <f>(F114/F103)*365</f>
        <v>21.13096340555418</v>
      </c>
      <c r="G117" s="8">
        <f>(G114/G103)*365</f>
        <v>20.258704738796439</v>
      </c>
      <c r="H117" s="8"/>
    </row>
    <row r="118" spans="1:8" x14ac:dyDescent="0.3">
      <c r="A118" s="12" t="s">
        <v>107</v>
      </c>
      <c r="B118" s="11" t="s">
        <v>101</v>
      </c>
      <c r="C118" s="8">
        <f>(C115/C104)*365</f>
        <v>58.033165947077229</v>
      </c>
      <c r="D118" s="8">
        <f>(D115/D104)*365</f>
        <v>62.204947093626984</v>
      </c>
      <c r="E118" s="8">
        <f t="shared" ref="E118:G118" si="34">(E115/E104)*365</f>
        <v>55.249567038023102</v>
      </c>
      <c r="F118" s="8">
        <f t="shared" si="34"/>
        <v>55.381578452237093</v>
      </c>
      <c r="G118" s="8">
        <f t="shared" si="34"/>
        <v>36.985981814245513</v>
      </c>
      <c r="H118" s="8"/>
    </row>
    <row r="119" spans="1:8" x14ac:dyDescent="0.3">
      <c r="A119" s="12" t="s">
        <v>109</v>
      </c>
      <c r="B119" s="11" t="s">
        <v>108</v>
      </c>
      <c r="C119" s="8">
        <f>C116+C117-C118</f>
        <v>61.147504171922257</v>
      </c>
      <c r="D119" s="8">
        <f t="shared" ref="D119:G119" si="35">D116+D117-D118</f>
        <v>55.795961658373415</v>
      </c>
      <c r="E119" s="8">
        <f t="shared" si="35"/>
        <v>53.521107762229263</v>
      </c>
      <c r="F119" s="8">
        <f t="shared" si="35"/>
        <v>70.844588803282178</v>
      </c>
      <c r="G119" s="8">
        <f t="shared" si="35"/>
        <v>88.081813095583612</v>
      </c>
      <c r="H119" s="8"/>
    </row>
    <row r="120" spans="1:8" x14ac:dyDescent="0.3">
      <c r="A120" s="12"/>
      <c r="B120" s="1"/>
      <c r="C120" s="6"/>
      <c r="D120" s="6"/>
      <c r="E120" s="6"/>
      <c r="F120" s="6"/>
      <c r="G120" s="6"/>
      <c r="H120" s="6"/>
    </row>
    <row r="121" spans="1:8" x14ac:dyDescent="0.3">
      <c r="A121" s="26" t="s">
        <v>64</v>
      </c>
      <c r="B121" s="26"/>
      <c r="C121" s="26"/>
      <c r="D121" s="26"/>
      <c r="E121" s="26"/>
      <c r="F121" s="26"/>
      <c r="G121" s="26"/>
      <c r="H121" s="26"/>
    </row>
    <row r="122" spans="1:8" x14ac:dyDescent="0.3">
      <c r="A122" s="11" t="s">
        <v>10</v>
      </c>
      <c r="B122" s="1"/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12</v>
      </c>
    </row>
    <row r="123" spans="1:8" x14ac:dyDescent="0.3">
      <c r="A123" s="12" t="s">
        <v>8</v>
      </c>
      <c r="B123" s="3"/>
      <c r="C123" s="6">
        <v>5268.66</v>
      </c>
      <c r="D123" s="6">
        <v>5404.12</v>
      </c>
      <c r="E123" s="6">
        <v>5716.37</v>
      </c>
      <c r="F123" s="6">
        <v>4200.28</v>
      </c>
      <c r="G123" s="6">
        <v>2308.34</v>
      </c>
      <c r="H123" s="7">
        <v>2644.83</v>
      </c>
    </row>
    <row r="124" spans="1:8" x14ac:dyDescent="0.3">
      <c r="A124" s="12" t="s">
        <v>11</v>
      </c>
      <c r="B124" s="3"/>
      <c r="C124" s="7">
        <v>4014.86</v>
      </c>
      <c r="D124" s="7">
        <v>3897.16</v>
      </c>
      <c r="E124" s="7">
        <v>4327.34</v>
      </c>
      <c r="F124" s="7">
        <v>3367.76</v>
      </c>
      <c r="G124" s="7">
        <v>1683.6200000000001</v>
      </c>
      <c r="H124" s="7">
        <f>1623.73+337.8-3.72</f>
        <v>1957.81</v>
      </c>
    </row>
    <row r="125" spans="1:8" x14ac:dyDescent="0.3">
      <c r="A125" s="12" t="s">
        <v>28</v>
      </c>
      <c r="B125" s="3"/>
      <c r="C125" s="7">
        <v>4434.78</v>
      </c>
      <c r="D125" s="7">
        <v>3613.7</v>
      </c>
      <c r="E125" s="7">
        <v>3207.54</v>
      </c>
      <c r="F125" s="7">
        <v>2647.1</v>
      </c>
      <c r="G125" s="7">
        <v>2136.52</v>
      </c>
      <c r="H125" s="7">
        <v>1820.35</v>
      </c>
    </row>
    <row r="126" spans="1:8" x14ac:dyDescent="0.3">
      <c r="A126" s="12" t="s">
        <v>5</v>
      </c>
      <c r="B126" s="1"/>
      <c r="C126" s="6">
        <v>1341.65</v>
      </c>
      <c r="D126" s="6">
        <v>1576.12</v>
      </c>
      <c r="E126" s="6">
        <v>1505.84</v>
      </c>
      <c r="F126" s="6">
        <v>1434.62</v>
      </c>
      <c r="G126" s="6">
        <v>973.15</v>
      </c>
      <c r="H126" s="7">
        <v>761.76</v>
      </c>
    </row>
    <row r="127" spans="1:8" x14ac:dyDescent="0.3">
      <c r="A127" s="12" t="s">
        <v>6</v>
      </c>
      <c r="B127" s="1"/>
      <c r="C127" s="6">
        <v>653.48</v>
      </c>
      <c r="D127" s="6">
        <v>518.32000000000005</v>
      </c>
      <c r="E127" s="6">
        <v>642.47</v>
      </c>
      <c r="F127" s="6">
        <v>556.83000000000004</v>
      </c>
      <c r="G127" s="6">
        <v>471.35</v>
      </c>
      <c r="H127" s="6">
        <v>360.85</v>
      </c>
    </row>
    <row r="128" spans="1:8" x14ac:dyDescent="0.3">
      <c r="A128" s="12" t="s">
        <v>29</v>
      </c>
      <c r="B128" s="3"/>
      <c r="C128" s="7">
        <v>271.31</v>
      </c>
      <c r="D128" s="7">
        <v>430.09</v>
      </c>
      <c r="E128" s="7">
        <v>543.29</v>
      </c>
      <c r="F128" s="7">
        <v>840.59</v>
      </c>
      <c r="G128" s="7">
        <v>1049.4100000000001</v>
      </c>
      <c r="H128" s="7">
        <v>964.41</v>
      </c>
    </row>
    <row r="129" spans="1:8" x14ac:dyDescent="0.3">
      <c r="A129" s="12" t="s">
        <v>7</v>
      </c>
      <c r="B129" s="1"/>
      <c r="C129" s="6">
        <v>152.49</v>
      </c>
      <c r="D129" s="6">
        <v>292.52999999999997</v>
      </c>
      <c r="E129" s="6">
        <v>296.23</v>
      </c>
      <c r="F129" s="6">
        <v>487.55</v>
      </c>
      <c r="G129" s="6">
        <v>741.85</v>
      </c>
      <c r="H129" s="7">
        <v>571.61</v>
      </c>
    </row>
    <row r="131" spans="1:8" x14ac:dyDescent="0.3">
      <c r="A131" s="4" t="s">
        <v>93</v>
      </c>
      <c r="B131" s="1"/>
      <c r="C131" s="8"/>
      <c r="D131" s="8"/>
      <c r="E131" s="8"/>
      <c r="F131" s="8"/>
      <c r="G131" s="8"/>
      <c r="H131" s="8"/>
    </row>
    <row r="132" spans="1:8" x14ac:dyDescent="0.3">
      <c r="A132" s="12" t="s">
        <v>94</v>
      </c>
      <c r="B132" s="11" t="s">
        <v>95</v>
      </c>
      <c r="C132" s="8">
        <f>C125-C128</f>
        <v>4163.4699999999993</v>
      </c>
      <c r="D132" s="8">
        <f t="shared" ref="D132:G132" si="36">D125-D128</f>
        <v>3183.6099999999997</v>
      </c>
      <c r="E132" s="8">
        <f t="shared" si="36"/>
        <v>2664.25</v>
      </c>
      <c r="F132" s="8">
        <f t="shared" si="36"/>
        <v>1806.5099999999998</v>
      </c>
      <c r="G132" s="8">
        <f t="shared" si="36"/>
        <v>1087.1099999999999</v>
      </c>
      <c r="H132" s="8">
        <f>H125-H128</f>
        <v>855.93999999999994</v>
      </c>
    </row>
    <row r="133" spans="1:8" x14ac:dyDescent="0.3">
      <c r="A133" s="12" t="s">
        <v>96</v>
      </c>
      <c r="B133" s="11" t="s">
        <v>103</v>
      </c>
      <c r="C133" s="8">
        <f>(C126+D126)/2</f>
        <v>1458.885</v>
      </c>
      <c r="D133" s="8">
        <f>(D126+E126)/2</f>
        <v>1540.98</v>
      </c>
      <c r="E133" s="8">
        <f>(E126+F126)/2</f>
        <v>1470.23</v>
      </c>
      <c r="F133" s="8">
        <f>(F126+G126)/2</f>
        <v>1203.885</v>
      </c>
      <c r="G133" s="8">
        <f>(G126+H126)/2</f>
        <v>867.45499999999993</v>
      </c>
      <c r="H133" s="8"/>
    </row>
    <row r="134" spans="1:8" x14ac:dyDescent="0.3">
      <c r="A134" s="12" t="s">
        <v>97</v>
      </c>
      <c r="B134" s="11" t="s">
        <v>104</v>
      </c>
      <c r="C134" s="2">
        <f>(C127+D127)/2</f>
        <v>585.90000000000009</v>
      </c>
      <c r="D134" s="2">
        <f t="shared" ref="D134:G134" si="37">(D127+E127)/2</f>
        <v>580.39499999999998</v>
      </c>
      <c r="E134" s="2">
        <f t="shared" si="37"/>
        <v>599.65000000000009</v>
      </c>
      <c r="F134" s="2">
        <f t="shared" si="37"/>
        <v>514.09</v>
      </c>
      <c r="G134" s="2">
        <f t="shared" si="37"/>
        <v>416.1</v>
      </c>
    </row>
    <row r="135" spans="1:8" x14ac:dyDescent="0.3">
      <c r="A135" s="12" t="s">
        <v>98</v>
      </c>
      <c r="B135" s="11" t="s">
        <v>102</v>
      </c>
      <c r="C135" s="8">
        <f>(C129+D129)/2</f>
        <v>222.51</v>
      </c>
      <c r="D135" s="8">
        <f t="shared" ref="D135:G135" si="38">(D129+E129)/2</f>
        <v>294.38</v>
      </c>
      <c r="E135" s="8">
        <f t="shared" si="38"/>
        <v>391.89</v>
      </c>
      <c r="F135" s="8">
        <f t="shared" si="38"/>
        <v>614.70000000000005</v>
      </c>
      <c r="G135" s="8">
        <f t="shared" si="38"/>
        <v>656.73</v>
      </c>
      <c r="H135" s="8"/>
    </row>
    <row r="136" spans="1:8" x14ac:dyDescent="0.3">
      <c r="A136" s="12" t="s">
        <v>105</v>
      </c>
      <c r="B136" s="11" t="s">
        <v>99</v>
      </c>
      <c r="C136" s="8">
        <f>(C133/C124)*365</f>
        <v>132.63053381687033</v>
      </c>
      <c r="D136" s="8">
        <f t="shared" ref="D136:F136" si="39">(D133/D124)*365</f>
        <v>144.32502129756028</v>
      </c>
      <c r="E136" s="8">
        <f t="shared" si="39"/>
        <v>124.01011938049702</v>
      </c>
      <c r="F136" s="8">
        <f t="shared" si="39"/>
        <v>130.47783244649261</v>
      </c>
      <c r="G136" s="8">
        <f>(G133/G124)*365</f>
        <v>188.05970171416351</v>
      </c>
      <c r="H136" s="8"/>
    </row>
    <row r="137" spans="1:8" x14ac:dyDescent="0.3">
      <c r="A137" s="12" t="s">
        <v>106</v>
      </c>
      <c r="B137" s="11" t="s">
        <v>100</v>
      </c>
      <c r="C137" s="8">
        <f>(C134/C123)*365</f>
        <v>40.589732493651148</v>
      </c>
      <c r="D137" s="8">
        <f>(D134/D123)*365</f>
        <v>39.200494252533254</v>
      </c>
      <c r="E137" s="8">
        <f>(E134/E123)*365</f>
        <v>38.288677954716022</v>
      </c>
      <c r="F137" s="8">
        <f>(F134/F123)*365</f>
        <v>44.673890788233166</v>
      </c>
      <c r="G137" s="8">
        <f>(G134/G123)*365</f>
        <v>65.794683625462454</v>
      </c>
      <c r="H137" s="8"/>
    </row>
    <row r="138" spans="1:8" x14ac:dyDescent="0.3">
      <c r="A138" s="12" t="s">
        <v>107</v>
      </c>
      <c r="B138" s="11" t="s">
        <v>101</v>
      </c>
      <c r="C138" s="8">
        <f>(C135/C124)*365</f>
        <v>20.228887184111024</v>
      </c>
      <c r="D138" s="8">
        <f>(D135/D124)*365</f>
        <v>27.571026080530437</v>
      </c>
      <c r="E138" s="8">
        <f t="shared" ref="E138:G138" si="40">(E135/E124)*365</f>
        <v>33.054913642098839</v>
      </c>
      <c r="F138" s="8">
        <f t="shared" si="40"/>
        <v>66.621582298025984</v>
      </c>
      <c r="G138" s="8">
        <f t="shared" si="40"/>
        <v>142.37562514106509</v>
      </c>
      <c r="H138" s="8"/>
    </row>
    <row r="139" spans="1:8" x14ac:dyDescent="0.3">
      <c r="A139" s="12" t="s">
        <v>109</v>
      </c>
      <c r="B139" s="11" t="s">
        <v>108</v>
      </c>
      <c r="C139" s="8">
        <f>C136+C137-C138</f>
        <v>152.99137912641046</v>
      </c>
      <c r="D139" s="8">
        <f t="shared" ref="D139:G139" si="41">D136+D137-D138</f>
        <v>155.9544894695631</v>
      </c>
      <c r="E139" s="8">
        <f t="shared" si="41"/>
        <v>129.24388369311419</v>
      </c>
      <c r="F139" s="8">
        <f t="shared" si="41"/>
        <v>108.53014093669979</v>
      </c>
      <c r="G139" s="8">
        <f t="shared" si="41"/>
        <v>111.47876019856088</v>
      </c>
      <c r="H139" s="8"/>
    </row>
    <row r="141" spans="1:8" x14ac:dyDescent="0.3">
      <c r="A141" s="26" t="s">
        <v>48</v>
      </c>
      <c r="B141" s="26"/>
      <c r="C141" s="26"/>
      <c r="D141" s="26"/>
      <c r="E141" s="26"/>
      <c r="F141" s="26"/>
      <c r="G141" s="26"/>
      <c r="H141" s="26"/>
    </row>
    <row r="142" spans="1:8" x14ac:dyDescent="0.3">
      <c r="A142" s="11" t="s">
        <v>10</v>
      </c>
      <c r="B142" s="1"/>
      <c r="C142" s="1" t="s">
        <v>0</v>
      </c>
      <c r="D142" s="1" t="s">
        <v>1</v>
      </c>
      <c r="E142" s="1" t="s">
        <v>2</v>
      </c>
      <c r="F142" s="1" t="s">
        <v>3</v>
      </c>
      <c r="G142" s="1" t="s">
        <v>4</v>
      </c>
      <c r="H142" s="1" t="s">
        <v>12</v>
      </c>
    </row>
    <row r="143" spans="1:8" x14ac:dyDescent="0.3">
      <c r="A143" s="12" t="s">
        <v>8</v>
      </c>
      <c r="B143" s="3"/>
      <c r="C143" s="8">
        <v>5186.47</v>
      </c>
      <c r="D143" s="8">
        <v>5059.1000000000004</v>
      </c>
      <c r="E143" s="8">
        <v>4474.3999999999996</v>
      </c>
      <c r="F143" s="8">
        <v>3138.78</v>
      </c>
      <c r="G143" s="8">
        <v>2298.13</v>
      </c>
      <c r="H143" s="8">
        <v>2585.6799999999998</v>
      </c>
    </row>
    <row r="144" spans="1:8" x14ac:dyDescent="0.3">
      <c r="A144" s="12" t="s">
        <v>11</v>
      </c>
      <c r="B144" s="3"/>
      <c r="C144" s="8">
        <v>3372.05</v>
      </c>
      <c r="D144" s="8">
        <v>3329.63</v>
      </c>
      <c r="E144" s="8">
        <v>2945.66</v>
      </c>
      <c r="F144" s="8">
        <v>2103.88</v>
      </c>
      <c r="G144" s="8">
        <v>1471.3799999999999</v>
      </c>
      <c r="H144" s="9">
        <f>1750.18-53.87</f>
        <v>1696.3100000000002</v>
      </c>
    </row>
    <row r="145" spans="1:8" x14ac:dyDescent="0.3">
      <c r="A145" s="13" t="s">
        <v>28</v>
      </c>
      <c r="B145" s="3"/>
      <c r="C145" s="8">
        <v>3302.96</v>
      </c>
      <c r="D145" s="8">
        <v>2665.68</v>
      </c>
      <c r="E145" s="8">
        <v>2532.9699999999998</v>
      </c>
      <c r="F145" s="8">
        <v>1964.72</v>
      </c>
      <c r="G145" s="8">
        <v>1654.55</v>
      </c>
      <c r="H145" s="9">
        <v>1641.01</v>
      </c>
    </row>
    <row r="146" spans="1:8" x14ac:dyDescent="0.3">
      <c r="A146" s="12" t="s">
        <v>5</v>
      </c>
      <c r="B146" s="1"/>
      <c r="C146" s="8">
        <v>1506</v>
      </c>
      <c r="D146" s="8">
        <v>1348.7</v>
      </c>
      <c r="E146" s="8">
        <v>1259.17</v>
      </c>
      <c r="F146" s="8">
        <v>1111.97</v>
      </c>
      <c r="G146" s="8">
        <v>536.89</v>
      </c>
      <c r="H146" s="8">
        <v>859.21</v>
      </c>
    </row>
    <row r="147" spans="1:8" x14ac:dyDescent="0.3">
      <c r="A147" s="12" t="s">
        <v>6</v>
      </c>
      <c r="B147" s="1"/>
      <c r="C147" s="8">
        <v>1265.0999999999999</v>
      </c>
      <c r="D147" s="8">
        <v>941.45</v>
      </c>
      <c r="E147" s="8">
        <v>1009.22</v>
      </c>
      <c r="F147" s="8">
        <v>600.76</v>
      </c>
      <c r="G147" s="8">
        <v>402.57</v>
      </c>
      <c r="H147" s="8">
        <v>370.18</v>
      </c>
    </row>
    <row r="148" spans="1:8" x14ac:dyDescent="0.3">
      <c r="A148" s="13" t="s">
        <v>29</v>
      </c>
      <c r="B148" s="2"/>
      <c r="C148" s="9">
        <v>997.18</v>
      </c>
      <c r="D148" s="9">
        <v>600.04</v>
      </c>
      <c r="E148" s="9">
        <v>860.76</v>
      </c>
      <c r="F148" s="9">
        <v>565.69000000000005</v>
      </c>
      <c r="G148" s="9">
        <v>426.8</v>
      </c>
      <c r="H148" s="9">
        <v>618.33000000000004</v>
      </c>
    </row>
    <row r="149" spans="1:8" x14ac:dyDescent="0.3">
      <c r="A149" s="12" t="s">
        <v>7</v>
      </c>
      <c r="B149" s="1"/>
      <c r="C149" s="8">
        <v>458.12</v>
      </c>
      <c r="D149" s="8">
        <v>355.99</v>
      </c>
      <c r="E149" s="8">
        <v>374.19</v>
      </c>
      <c r="F149" s="8">
        <v>314.49</v>
      </c>
      <c r="G149" s="8">
        <v>242.33</v>
      </c>
      <c r="H149" s="8">
        <v>263.95</v>
      </c>
    </row>
    <row r="150" spans="1:8" x14ac:dyDescent="0.3">
      <c r="A150" s="12"/>
      <c r="B150" s="1"/>
      <c r="C150" s="6"/>
      <c r="D150" s="6"/>
      <c r="E150" s="6"/>
      <c r="F150" s="6"/>
      <c r="G150" s="6"/>
      <c r="H150" s="7"/>
    </row>
    <row r="151" spans="1:8" x14ac:dyDescent="0.3">
      <c r="A151" s="4" t="s">
        <v>93</v>
      </c>
      <c r="B151" s="1"/>
      <c r="C151" s="8"/>
      <c r="D151" s="8"/>
      <c r="E151" s="8"/>
      <c r="F151" s="8"/>
      <c r="G151" s="8"/>
      <c r="H151" s="8"/>
    </row>
    <row r="152" spans="1:8" x14ac:dyDescent="0.3">
      <c r="A152" s="12" t="s">
        <v>94</v>
      </c>
      <c r="B152" s="11" t="s">
        <v>95</v>
      </c>
      <c r="C152" s="8">
        <f>C145-C148</f>
        <v>2305.7800000000002</v>
      </c>
      <c r="D152" s="8">
        <f t="shared" ref="D152:G152" si="42">D145-D148</f>
        <v>2065.64</v>
      </c>
      <c r="E152" s="8">
        <f t="shared" si="42"/>
        <v>1672.2099999999998</v>
      </c>
      <c r="F152" s="8">
        <f t="shared" si="42"/>
        <v>1399.03</v>
      </c>
      <c r="G152" s="8">
        <f t="shared" si="42"/>
        <v>1227.75</v>
      </c>
      <c r="H152" s="8">
        <f>H145-H148</f>
        <v>1022.68</v>
      </c>
    </row>
    <row r="153" spans="1:8" x14ac:dyDescent="0.3">
      <c r="A153" s="12" t="s">
        <v>96</v>
      </c>
      <c r="B153" s="11" t="s">
        <v>103</v>
      </c>
      <c r="C153" s="8">
        <f>(C146+D146)/2</f>
        <v>1427.35</v>
      </c>
      <c r="D153" s="8">
        <f>(D146+E146)/2</f>
        <v>1303.9349999999999</v>
      </c>
      <c r="E153" s="8">
        <f>(E146+F146)/2</f>
        <v>1185.5700000000002</v>
      </c>
      <c r="F153" s="8">
        <f>(F146+G146)/2</f>
        <v>824.43000000000006</v>
      </c>
      <c r="G153" s="8">
        <f>(G146+H146)/2</f>
        <v>698.05</v>
      </c>
      <c r="H153" s="8"/>
    </row>
    <row r="154" spans="1:8" x14ac:dyDescent="0.3">
      <c r="A154" s="12" t="s">
        <v>97</v>
      </c>
      <c r="B154" s="11" t="s">
        <v>104</v>
      </c>
      <c r="C154" s="2">
        <f>(C147+D147)/2</f>
        <v>1103.2750000000001</v>
      </c>
      <c r="D154" s="2">
        <f t="shared" ref="D154:G154" si="43">(D147+E147)/2</f>
        <v>975.33500000000004</v>
      </c>
      <c r="E154" s="2">
        <f t="shared" si="43"/>
        <v>804.99</v>
      </c>
      <c r="F154" s="2">
        <f t="shared" si="43"/>
        <v>501.66499999999996</v>
      </c>
      <c r="G154" s="2">
        <f t="shared" si="43"/>
        <v>386.375</v>
      </c>
    </row>
    <row r="155" spans="1:8" x14ac:dyDescent="0.3">
      <c r="A155" s="12" t="s">
        <v>98</v>
      </c>
      <c r="B155" s="11" t="s">
        <v>102</v>
      </c>
      <c r="C155" s="8">
        <f>(C149+D149)/2</f>
        <v>407.05500000000001</v>
      </c>
      <c r="D155" s="8">
        <f t="shared" ref="D155:G155" si="44">(D149+E149)/2</f>
        <v>365.09000000000003</v>
      </c>
      <c r="E155" s="8">
        <f t="shared" si="44"/>
        <v>344.34000000000003</v>
      </c>
      <c r="F155" s="8">
        <f t="shared" si="44"/>
        <v>278.41000000000003</v>
      </c>
      <c r="G155" s="8">
        <f t="shared" si="44"/>
        <v>253.14</v>
      </c>
      <c r="H155" s="8"/>
    </row>
    <row r="156" spans="1:8" x14ac:dyDescent="0.3">
      <c r="A156" s="12" t="s">
        <v>105</v>
      </c>
      <c r="B156" s="11" t="s">
        <v>99</v>
      </c>
      <c r="C156" s="8">
        <f>(C153/C144)*365</f>
        <v>154.50030396939545</v>
      </c>
      <c r="D156" s="8">
        <f t="shared" ref="D156:F156" si="45">(D153/D144)*365</f>
        <v>142.93968849391672</v>
      </c>
      <c r="E156" s="8">
        <f t="shared" si="45"/>
        <v>146.90529456895911</v>
      </c>
      <c r="F156" s="8">
        <f t="shared" si="45"/>
        <v>143.02952164572125</v>
      </c>
      <c r="G156" s="8">
        <f>(G153/G144)*365</f>
        <v>173.16277915970042</v>
      </c>
      <c r="H156" s="8"/>
    </row>
    <row r="157" spans="1:8" x14ac:dyDescent="0.3">
      <c r="A157" s="12" t="s">
        <v>106</v>
      </c>
      <c r="B157" s="11" t="s">
        <v>100</v>
      </c>
      <c r="C157" s="8">
        <f>(C154/C143)*365</f>
        <v>77.643440528914653</v>
      </c>
      <c r="D157" s="8">
        <f>(D154/D143)*365</f>
        <v>70.36770868336265</v>
      </c>
      <c r="E157" s="8">
        <f>(E154/E143)*365</f>
        <v>65.667206776327561</v>
      </c>
      <c r="F157" s="8">
        <f>(F154/F143)*365</f>
        <v>58.337228158711333</v>
      </c>
      <c r="G157" s="8">
        <f>(G154/G143)*365</f>
        <v>61.36592577443399</v>
      </c>
      <c r="H157" s="8"/>
    </row>
    <row r="158" spans="1:8" x14ac:dyDescent="0.3">
      <c r="A158" s="12" t="s">
        <v>107</v>
      </c>
      <c r="B158" s="11" t="s">
        <v>101</v>
      </c>
      <c r="C158" s="8">
        <f>(C155/C144)*365</f>
        <v>44.060756809655842</v>
      </c>
      <c r="D158" s="8">
        <f>(D155/D144)*365</f>
        <v>40.021819241176949</v>
      </c>
      <c r="E158" s="8">
        <f t="shared" ref="E158:G158" si="46">(E155/E144)*365</f>
        <v>42.667551584364801</v>
      </c>
      <c r="F158" s="8">
        <f t="shared" si="46"/>
        <v>48.301067551381259</v>
      </c>
      <c r="G158" s="8">
        <f t="shared" si="46"/>
        <v>62.795538881866008</v>
      </c>
      <c r="H158" s="8"/>
    </row>
    <row r="159" spans="1:8" x14ac:dyDescent="0.3">
      <c r="A159" s="12" t="s">
        <v>109</v>
      </c>
      <c r="B159" s="11" t="s">
        <v>108</v>
      </c>
      <c r="C159" s="8">
        <f>C156+C157-C158</f>
        <v>188.08298768865427</v>
      </c>
      <c r="D159" s="8">
        <f t="shared" ref="D159:G159" si="47">D156+D157-D158</f>
        <v>173.28557793610241</v>
      </c>
      <c r="E159" s="8">
        <f t="shared" si="47"/>
        <v>169.90494976092185</v>
      </c>
      <c r="F159" s="8">
        <f t="shared" si="47"/>
        <v>153.06568225305131</v>
      </c>
      <c r="G159" s="8">
        <f t="shared" si="47"/>
        <v>171.73316605226839</v>
      </c>
      <c r="H159" s="8"/>
    </row>
    <row r="160" spans="1:8" x14ac:dyDescent="0.3">
      <c r="A160" s="14"/>
      <c r="B160" s="2"/>
      <c r="C160" s="2"/>
      <c r="D160" s="2"/>
      <c r="E160" s="2"/>
      <c r="F160" s="2"/>
      <c r="G160" s="2"/>
      <c r="H160" s="2"/>
    </row>
    <row r="161" spans="1:8" x14ac:dyDescent="0.3">
      <c r="A161" s="26" t="s">
        <v>62</v>
      </c>
      <c r="B161" s="26"/>
      <c r="C161" s="26"/>
      <c r="D161" s="26"/>
      <c r="E161" s="26"/>
      <c r="F161" s="26"/>
      <c r="G161" s="26"/>
      <c r="H161" s="26"/>
    </row>
    <row r="162" spans="1:8" x14ac:dyDescent="0.3">
      <c r="A162" s="11" t="s">
        <v>10</v>
      </c>
      <c r="B162" s="1"/>
      <c r="C162" s="1" t="s">
        <v>0</v>
      </c>
      <c r="D162" s="1" t="s">
        <v>1</v>
      </c>
      <c r="E162" s="1" t="s">
        <v>2</v>
      </c>
      <c r="F162" s="1" t="s">
        <v>3</v>
      </c>
      <c r="G162" s="1" t="s">
        <v>4</v>
      </c>
      <c r="H162" s="1" t="s">
        <v>12</v>
      </c>
    </row>
    <row r="163" spans="1:8" x14ac:dyDescent="0.3">
      <c r="A163" s="12" t="s">
        <v>8</v>
      </c>
      <c r="B163" s="3"/>
      <c r="C163" s="5">
        <v>4889.99</v>
      </c>
      <c r="D163" s="5">
        <v>5174.8100000000004</v>
      </c>
      <c r="E163" s="5">
        <v>5567.6</v>
      </c>
      <c r="F163" s="5">
        <v>4636.66</v>
      </c>
      <c r="G163" s="5">
        <v>2725.99</v>
      </c>
      <c r="H163" s="5">
        <v>2922.69</v>
      </c>
    </row>
    <row r="164" spans="1:8" x14ac:dyDescent="0.3">
      <c r="A164" s="12" t="s">
        <v>11</v>
      </c>
      <c r="B164" s="3"/>
      <c r="C164" s="6">
        <v>3052.35</v>
      </c>
      <c r="D164" s="6">
        <v>3681.1400000000003</v>
      </c>
      <c r="E164" s="6">
        <v>3922.12</v>
      </c>
      <c r="F164" s="6">
        <v>2897.05</v>
      </c>
      <c r="G164" s="6">
        <v>1865.21</v>
      </c>
      <c r="H164" s="6">
        <f>1520.58+119-26</f>
        <v>1613.58</v>
      </c>
    </row>
    <row r="165" spans="1:8" x14ac:dyDescent="0.3">
      <c r="A165" s="12" t="s">
        <v>28</v>
      </c>
      <c r="B165" s="4"/>
      <c r="C165" s="6">
        <v>2706.6</v>
      </c>
      <c r="D165" s="6">
        <v>2381.86</v>
      </c>
      <c r="E165" s="6">
        <v>2489.16</v>
      </c>
      <c r="F165" s="6">
        <v>2742.41</v>
      </c>
      <c r="G165" s="6">
        <v>2570.2800000000002</v>
      </c>
      <c r="H165" s="6">
        <v>2553.86</v>
      </c>
    </row>
    <row r="166" spans="1:8" x14ac:dyDescent="0.3">
      <c r="A166" s="12" t="s">
        <v>5</v>
      </c>
      <c r="B166" s="1"/>
      <c r="C166" s="6">
        <v>2007.77</v>
      </c>
      <c r="D166" s="6">
        <v>1590.12</v>
      </c>
      <c r="E166" s="6">
        <v>1549.35</v>
      </c>
      <c r="F166" s="6">
        <v>1441.61</v>
      </c>
      <c r="G166" s="6">
        <v>1111.1300000000001</v>
      </c>
      <c r="H166" s="6">
        <v>1367.44</v>
      </c>
    </row>
    <row r="167" spans="1:8" x14ac:dyDescent="0.3">
      <c r="A167" s="12" t="s">
        <v>6</v>
      </c>
      <c r="B167" s="1"/>
      <c r="C167" s="6">
        <v>426.95</v>
      </c>
      <c r="D167" s="6">
        <v>532.99</v>
      </c>
      <c r="E167" s="6">
        <v>462.91</v>
      </c>
      <c r="F167" s="6">
        <v>480.41</v>
      </c>
      <c r="G167" s="6">
        <v>517.13</v>
      </c>
      <c r="H167" s="6">
        <v>418.31</v>
      </c>
    </row>
    <row r="168" spans="1:8" x14ac:dyDescent="0.3">
      <c r="A168" s="12" t="s">
        <v>29</v>
      </c>
      <c r="B168" s="4"/>
      <c r="C168" s="6">
        <v>2417.91</v>
      </c>
      <c r="D168" s="6">
        <v>639.48</v>
      </c>
      <c r="E168" s="6">
        <v>812.19</v>
      </c>
      <c r="F168" s="6">
        <v>1904.85</v>
      </c>
      <c r="G168" s="6">
        <v>946.71</v>
      </c>
      <c r="H168" s="6">
        <v>1860.37</v>
      </c>
    </row>
    <row r="169" spans="1:8" x14ac:dyDescent="0.3">
      <c r="A169" s="12" t="s">
        <v>7</v>
      </c>
      <c r="B169" s="1"/>
      <c r="C169" s="6">
        <v>594.96</v>
      </c>
      <c r="D169" s="6">
        <v>439.75</v>
      </c>
      <c r="E169" s="6">
        <v>536.17999999999995</v>
      </c>
      <c r="F169" s="6">
        <v>495.49</v>
      </c>
      <c r="G169" s="6">
        <v>428.18</v>
      </c>
      <c r="H169" s="6">
        <v>761.76</v>
      </c>
    </row>
    <row r="170" spans="1:8" x14ac:dyDescent="0.3">
      <c r="A170" s="14"/>
      <c r="B170" s="2"/>
      <c r="C170" s="2"/>
      <c r="D170" s="2"/>
      <c r="E170" s="2"/>
      <c r="F170" s="2"/>
      <c r="G170" s="2"/>
      <c r="H170" s="2"/>
    </row>
    <row r="171" spans="1:8" x14ac:dyDescent="0.3">
      <c r="A171" s="4" t="s">
        <v>93</v>
      </c>
      <c r="B171" s="1"/>
      <c r="C171" s="8"/>
      <c r="D171" s="8"/>
      <c r="E171" s="8"/>
      <c r="F171" s="8"/>
      <c r="G171" s="8"/>
      <c r="H171" s="8"/>
    </row>
    <row r="172" spans="1:8" x14ac:dyDescent="0.3">
      <c r="A172" s="12" t="s">
        <v>94</v>
      </c>
      <c r="B172" s="11" t="s">
        <v>95</v>
      </c>
      <c r="C172" s="8">
        <f>C165-C168</f>
        <v>288.69000000000005</v>
      </c>
      <c r="D172" s="8">
        <f t="shared" ref="D172:G172" si="48">D165-D168</f>
        <v>1742.38</v>
      </c>
      <c r="E172" s="8">
        <f t="shared" si="48"/>
        <v>1676.9699999999998</v>
      </c>
      <c r="F172" s="8">
        <f t="shared" si="48"/>
        <v>837.56</v>
      </c>
      <c r="G172" s="8">
        <f t="shared" si="48"/>
        <v>1623.5700000000002</v>
      </c>
      <c r="H172" s="8">
        <f>H165-H168</f>
        <v>693.49000000000024</v>
      </c>
    </row>
    <row r="173" spans="1:8" x14ac:dyDescent="0.3">
      <c r="A173" s="12" t="s">
        <v>96</v>
      </c>
      <c r="B173" s="11" t="s">
        <v>103</v>
      </c>
      <c r="C173" s="8">
        <f>(C166+D166)/2</f>
        <v>1798.9449999999999</v>
      </c>
      <c r="D173" s="8">
        <f>(D166+E166)/2</f>
        <v>1569.7349999999999</v>
      </c>
      <c r="E173" s="8">
        <f>(E166+F166)/2</f>
        <v>1495.48</v>
      </c>
      <c r="F173" s="8">
        <f>(F166+G166)/2</f>
        <v>1276.3699999999999</v>
      </c>
      <c r="G173" s="8">
        <f>(G166+H166)/2</f>
        <v>1239.2850000000001</v>
      </c>
      <c r="H173" s="8"/>
    </row>
    <row r="174" spans="1:8" x14ac:dyDescent="0.3">
      <c r="A174" s="12" t="s">
        <v>97</v>
      </c>
      <c r="B174" s="11" t="s">
        <v>104</v>
      </c>
      <c r="C174" s="2">
        <f>(C167+D167)/2</f>
        <v>479.97</v>
      </c>
      <c r="D174" s="2">
        <f t="shared" ref="D174:G174" si="49">(D167+E167)/2</f>
        <v>497.95000000000005</v>
      </c>
      <c r="E174" s="2">
        <f t="shared" si="49"/>
        <v>471.66</v>
      </c>
      <c r="F174" s="2">
        <f t="shared" si="49"/>
        <v>498.77</v>
      </c>
      <c r="G174" s="2">
        <f t="shared" si="49"/>
        <v>467.72</v>
      </c>
    </row>
    <row r="175" spans="1:8" x14ac:dyDescent="0.3">
      <c r="A175" s="12" t="s">
        <v>98</v>
      </c>
      <c r="B175" s="11" t="s">
        <v>102</v>
      </c>
      <c r="C175" s="8">
        <f>(C169+D169)/2</f>
        <v>517.35500000000002</v>
      </c>
      <c r="D175" s="8">
        <f t="shared" ref="D175:G175" si="50">(D169+E169)/2</f>
        <v>487.96499999999997</v>
      </c>
      <c r="E175" s="8">
        <f t="shared" si="50"/>
        <v>515.83500000000004</v>
      </c>
      <c r="F175" s="8">
        <f t="shared" si="50"/>
        <v>461.83500000000004</v>
      </c>
      <c r="G175" s="8">
        <f t="shared" si="50"/>
        <v>594.97</v>
      </c>
      <c r="H175" s="8"/>
    </row>
    <row r="176" spans="1:8" x14ac:dyDescent="0.3">
      <c r="A176" s="12" t="s">
        <v>105</v>
      </c>
      <c r="B176" s="11" t="s">
        <v>99</v>
      </c>
      <c r="C176" s="8">
        <f>(C173/C164)*365</f>
        <v>215.11783543826886</v>
      </c>
      <c r="D176" s="8">
        <f t="shared" ref="D176:F176" si="51">(D173/D164)*365</f>
        <v>155.64560842565072</v>
      </c>
      <c r="E176" s="8">
        <f t="shared" si="51"/>
        <v>139.17223338398622</v>
      </c>
      <c r="F176" s="8">
        <f t="shared" si="51"/>
        <v>160.81015170604579</v>
      </c>
      <c r="G176" s="8">
        <f>(G173/G164)*365</f>
        <v>242.51372499611304</v>
      </c>
      <c r="H176" s="8"/>
    </row>
    <row r="177" spans="1:8" x14ac:dyDescent="0.3">
      <c r="A177" s="12" t="s">
        <v>106</v>
      </c>
      <c r="B177" s="11" t="s">
        <v>100</v>
      </c>
      <c r="C177" s="8">
        <f>(C174/C163)*365</f>
        <v>35.826054859007897</v>
      </c>
      <c r="D177" s="8">
        <f>(D174/D163)*365</f>
        <v>35.122400629201849</v>
      </c>
      <c r="E177" s="8">
        <f>(E174/E163)*365</f>
        <v>30.921025217328829</v>
      </c>
      <c r="F177" s="8">
        <f>(F174/F163)*365</f>
        <v>39.26340296679075</v>
      </c>
      <c r="G177" s="8">
        <f>(G174/G163)*365</f>
        <v>62.625981753418031</v>
      </c>
      <c r="H177" s="8"/>
    </row>
    <row r="178" spans="1:8" x14ac:dyDescent="0.3">
      <c r="A178" s="12" t="s">
        <v>107</v>
      </c>
      <c r="B178" s="11" t="s">
        <v>101</v>
      </c>
      <c r="C178" s="8">
        <f>(C175/C164)*365</f>
        <v>61.865308696578055</v>
      </c>
      <c r="D178" s="8">
        <f>(D175/D164)*365</f>
        <v>48.383714012506985</v>
      </c>
      <c r="E178" s="8">
        <f t="shared" ref="E178:G178" si="52">(E175/E164)*365</f>
        <v>48.004593179199013</v>
      </c>
      <c r="F178" s="8">
        <f t="shared" si="52"/>
        <v>58.18669853816813</v>
      </c>
      <c r="G178" s="8">
        <f t="shared" si="52"/>
        <v>116.42873992740763</v>
      </c>
      <c r="H178" s="8"/>
    </row>
    <row r="179" spans="1:8" x14ac:dyDescent="0.3">
      <c r="A179" s="12" t="s">
        <v>109</v>
      </c>
      <c r="B179" s="11" t="s">
        <v>108</v>
      </c>
      <c r="C179" s="8">
        <f>C176+C177-C178</f>
        <v>189.07858160069873</v>
      </c>
      <c r="D179" s="8">
        <f t="shared" ref="D179:G179" si="53">D176+D177-D178</f>
        <v>142.38429504234557</v>
      </c>
      <c r="E179" s="8">
        <f t="shared" si="53"/>
        <v>122.08866542211604</v>
      </c>
      <c r="F179" s="8">
        <f t="shared" si="53"/>
        <v>141.88685613466839</v>
      </c>
      <c r="G179" s="8">
        <f t="shared" si="53"/>
        <v>188.71096682212342</v>
      </c>
      <c r="H179" s="8"/>
    </row>
    <row r="180" spans="1:8" x14ac:dyDescent="0.3">
      <c r="A180" s="14"/>
      <c r="B180" s="2"/>
      <c r="C180" s="2"/>
      <c r="D180" s="2"/>
      <c r="E180" s="2"/>
      <c r="F180" s="2"/>
      <c r="G180" s="2"/>
      <c r="H180" s="2"/>
    </row>
    <row r="181" spans="1:8" x14ac:dyDescent="0.3">
      <c r="A181" s="26" t="s">
        <v>49</v>
      </c>
      <c r="B181" s="26"/>
      <c r="C181" s="26"/>
      <c r="D181" s="26"/>
      <c r="E181" s="26"/>
      <c r="F181" s="26"/>
      <c r="G181" s="26"/>
      <c r="H181" s="26"/>
    </row>
    <row r="182" spans="1:8" x14ac:dyDescent="0.3">
      <c r="A182" s="11" t="s">
        <v>10</v>
      </c>
      <c r="B182" s="1"/>
      <c r="C182" s="1" t="s">
        <v>0</v>
      </c>
      <c r="D182" s="1" t="s">
        <v>1</v>
      </c>
      <c r="E182" s="1" t="s">
        <v>2</v>
      </c>
      <c r="F182" s="1" t="s">
        <v>3</v>
      </c>
      <c r="G182" s="1" t="s">
        <v>4</v>
      </c>
      <c r="H182" s="1" t="s">
        <v>12</v>
      </c>
    </row>
    <row r="183" spans="1:8" x14ac:dyDescent="0.3">
      <c r="A183" s="12" t="s">
        <v>8</v>
      </c>
      <c r="B183" s="3"/>
      <c r="C183" s="6">
        <v>4642.8500000000004</v>
      </c>
      <c r="D183" s="6">
        <v>3868.13</v>
      </c>
      <c r="E183" s="6">
        <v>4211.8999999999996</v>
      </c>
      <c r="F183" s="6">
        <v>3914.02</v>
      </c>
      <c r="G183" s="6">
        <v>2198.81</v>
      </c>
      <c r="H183" s="7">
        <v>2000.15</v>
      </c>
    </row>
    <row r="184" spans="1:8" x14ac:dyDescent="0.3">
      <c r="A184" s="12" t="s">
        <v>11</v>
      </c>
      <c r="B184" s="3"/>
      <c r="C184" s="6">
        <v>2572.65</v>
      </c>
      <c r="D184" s="6">
        <v>2407.08</v>
      </c>
      <c r="E184" s="6">
        <v>2495.3000000000002</v>
      </c>
      <c r="F184" s="6">
        <v>2159.7000000000003</v>
      </c>
      <c r="G184" s="6">
        <v>1406.8999999999999</v>
      </c>
      <c r="H184" s="7">
        <f>1233.1+53.04+61.58+6.51</f>
        <v>1354.2299999999998</v>
      </c>
    </row>
    <row r="185" spans="1:8" x14ac:dyDescent="0.3">
      <c r="A185" s="12" t="s">
        <v>28</v>
      </c>
      <c r="B185" s="2"/>
      <c r="C185" s="7">
        <v>3146.86</v>
      </c>
      <c r="D185" s="7">
        <v>2624.56</v>
      </c>
      <c r="E185" s="7">
        <v>2245.81</v>
      </c>
      <c r="F185" s="7">
        <v>2158.59</v>
      </c>
      <c r="G185" s="7">
        <v>1500.08</v>
      </c>
      <c r="H185" s="7">
        <v>1304.08</v>
      </c>
    </row>
    <row r="186" spans="1:8" x14ac:dyDescent="0.3">
      <c r="A186" s="12" t="s">
        <v>5</v>
      </c>
      <c r="B186" s="1"/>
      <c r="C186" s="6">
        <v>808.78</v>
      </c>
      <c r="D186" s="6">
        <v>528.39</v>
      </c>
      <c r="E186" s="6">
        <v>727.12</v>
      </c>
      <c r="F186" s="6">
        <v>612.97</v>
      </c>
      <c r="G186" s="6">
        <v>578.96</v>
      </c>
      <c r="H186" s="6">
        <v>500.76</v>
      </c>
    </row>
    <row r="187" spans="1:8" x14ac:dyDescent="0.3">
      <c r="A187" s="12" t="s">
        <v>6</v>
      </c>
      <c r="B187" s="1"/>
      <c r="C187" s="6">
        <v>221.04</v>
      </c>
      <c r="D187" s="6">
        <v>101.17</v>
      </c>
      <c r="E187" s="6">
        <v>182.02</v>
      </c>
      <c r="F187" s="6">
        <v>168.75</v>
      </c>
      <c r="G187" s="6">
        <v>138.24</v>
      </c>
      <c r="H187" s="6">
        <v>123.89</v>
      </c>
    </row>
    <row r="188" spans="1:8" x14ac:dyDescent="0.3">
      <c r="A188" s="12" t="s">
        <v>29</v>
      </c>
      <c r="B188" s="2"/>
      <c r="C188" s="7">
        <v>1028.27</v>
      </c>
      <c r="D188" s="7">
        <v>780.45</v>
      </c>
      <c r="E188" s="7">
        <v>750.64</v>
      </c>
      <c r="F188" s="7">
        <v>826.42</v>
      </c>
      <c r="G188" s="7">
        <v>604.67999999999995</v>
      </c>
      <c r="H188" s="7">
        <v>626.11</v>
      </c>
    </row>
    <row r="189" spans="1:8" x14ac:dyDescent="0.3">
      <c r="A189" s="12" t="s">
        <v>7</v>
      </c>
      <c r="B189" s="1"/>
      <c r="C189" s="6">
        <v>194.39</v>
      </c>
      <c r="D189" s="6">
        <v>172.61</v>
      </c>
      <c r="E189" s="6">
        <v>134.71</v>
      </c>
      <c r="F189" s="6">
        <v>212.24</v>
      </c>
      <c r="G189" s="6">
        <v>205.35</v>
      </c>
      <c r="H189" s="7">
        <v>213.66</v>
      </c>
    </row>
    <row r="191" spans="1:8" x14ac:dyDescent="0.3">
      <c r="A191" s="4" t="s">
        <v>93</v>
      </c>
      <c r="B191" s="1"/>
      <c r="C191" s="8"/>
      <c r="D191" s="8"/>
      <c r="E191" s="8"/>
      <c r="F191" s="8"/>
      <c r="G191" s="8"/>
      <c r="H191" s="8"/>
    </row>
    <row r="192" spans="1:8" x14ac:dyDescent="0.3">
      <c r="A192" s="12" t="s">
        <v>94</v>
      </c>
      <c r="B192" s="11" t="s">
        <v>95</v>
      </c>
      <c r="C192" s="8">
        <f>C185-C188</f>
        <v>2118.59</v>
      </c>
      <c r="D192" s="8">
        <f t="shared" ref="D192:G192" si="54">D185-D188</f>
        <v>1844.11</v>
      </c>
      <c r="E192" s="8">
        <f t="shared" si="54"/>
        <v>1495.17</v>
      </c>
      <c r="F192" s="8">
        <f t="shared" si="54"/>
        <v>1332.17</v>
      </c>
      <c r="G192" s="8">
        <f t="shared" si="54"/>
        <v>895.4</v>
      </c>
      <c r="H192" s="8">
        <f>H185-H188</f>
        <v>677.96999999999991</v>
      </c>
    </row>
    <row r="193" spans="1:8" x14ac:dyDescent="0.3">
      <c r="A193" s="12" t="s">
        <v>96</v>
      </c>
      <c r="B193" s="11" t="s">
        <v>103</v>
      </c>
      <c r="C193" s="8">
        <f>(C186+D186)/2</f>
        <v>668.58500000000004</v>
      </c>
      <c r="D193" s="8">
        <f>(D186+E186)/2</f>
        <v>627.755</v>
      </c>
      <c r="E193" s="8">
        <f>(E186+F186)/2</f>
        <v>670.04500000000007</v>
      </c>
      <c r="F193" s="8">
        <f>(F186+G186)/2</f>
        <v>595.96500000000003</v>
      </c>
      <c r="G193" s="8">
        <f>(G186+H186)/2</f>
        <v>539.86</v>
      </c>
      <c r="H193" s="8"/>
    </row>
    <row r="194" spans="1:8" x14ac:dyDescent="0.3">
      <c r="A194" s="12" t="s">
        <v>97</v>
      </c>
      <c r="B194" s="11" t="s">
        <v>104</v>
      </c>
      <c r="C194" s="2">
        <f>(C187+D187)/2</f>
        <v>161.10499999999999</v>
      </c>
      <c r="D194" s="2">
        <f t="shared" ref="D194:G194" si="55">(D187+E187)/2</f>
        <v>141.595</v>
      </c>
      <c r="E194" s="2">
        <f t="shared" si="55"/>
        <v>175.38499999999999</v>
      </c>
      <c r="F194" s="2">
        <f t="shared" si="55"/>
        <v>153.495</v>
      </c>
      <c r="G194" s="2">
        <f t="shared" si="55"/>
        <v>131.065</v>
      </c>
    </row>
    <row r="195" spans="1:8" x14ac:dyDescent="0.3">
      <c r="A195" s="12" t="s">
        <v>98</v>
      </c>
      <c r="B195" s="11" t="s">
        <v>102</v>
      </c>
      <c r="C195" s="8">
        <f>(C189+D189)/2</f>
        <v>183.5</v>
      </c>
      <c r="D195" s="8">
        <f t="shared" ref="D195:G195" si="56">(D189+E189)/2</f>
        <v>153.66000000000003</v>
      </c>
      <c r="E195" s="8">
        <f t="shared" si="56"/>
        <v>173.47500000000002</v>
      </c>
      <c r="F195" s="8">
        <f t="shared" si="56"/>
        <v>208.79500000000002</v>
      </c>
      <c r="G195" s="8">
        <f t="shared" si="56"/>
        <v>209.505</v>
      </c>
      <c r="H195" s="8"/>
    </row>
    <row r="196" spans="1:8" x14ac:dyDescent="0.3">
      <c r="A196" s="12" t="s">
        <v>105</v>
      </c>
      <c r="B196" s="11" t="s">
        <v>99</v>
      </c>
      <c r="C196" s="8">
        <f>(C193/C184)*365</f>
        <v>94.856869375935332</v>
      </c>
      <c r="D196" s="8">
        <f t="shared" ref="D196:F196" si="57">(D193/D184)*365</f>
        <v>95.19026164481447</v>
      </c>
      <c r="E196" s="8">
        <f t="shared" si="57"/>
        <v>98.010830361078831</v>
      </c>
      <c r="F196" s="8">
        <f t="shared" si="57"/>
        <v>100.72103764411723</v>
      </c>
      <c r="G196" s="8">
        <f>(G193/G184)*365</f>
        <v>140.05892387518659</v>
      </c>
      <c r="H196" s="8"/>
    </row>
    <row r="197" spans="1:8" x14ac:dyDescent="0.3">
      <c r="A197" s="12" t="s">
        <v>106</v>
      </c>
      <c r="B197" s="11" t="s">
        <v>100</v>
      </c>
      <c r="C197" s="8">
        <f>(C194/C183)*365</f>
        <v>12.665351023616957</v>
      </c>
      <c r="D197" s="8">
        <f>(D194/D183)*365</f>
        <v>13.361023285153291</v>
      </c>
      <c r="E197" s="8">
        <f>(E194/E183)*365</f>
        <v>15.198728602293503</v>
      </c>
      <c r="F197" s="8">
        <f>(F194/F183)*365</f>
        <v>14.314100336738187</v>
      </c>
      <c r="G197" s="8">
        <f>(G194/G183)*365</f>
        <v>21.756643366184434</v>
      </c>
      <c r="H197" s="8"/>
    </row>
    <row r="198" spans="1:8" x14ac:dyDescent="0.3">
      <c r="A198" s="12" t="s">
        <v>107</v>
      </c>
      <c r="B198" s="11" t="s">
        <v>101</v>
      </c>
      <c r="C198" s="8">
        <f>(C195/C184)*365</f>
        <v>26.034439196937008</v>
      </c>
      <c r="D198" s="8">
        <f>(D195/D184)*365</f>
        <v>23.300388852883994</v>
      </c>
      <c r="E198" s="8">
        <f t="shared" ref="E198:G198" si="58">(E195/E184)*365</f>
        <v>25.375055103594761</v>
      </c>
      <c r="F198" s="8">
        <f t="shared" si="58"/>
        <v>35.287389452238735</v>
      </c>
      <c r="G198" s="8">
        <f t="shared" si="58"/>
        <v>54.353063472883647</v>
      </c>
      <c r="H198" s="8"/>
    </row>
    <row r="199" spans="1:8" x14ac:dyDescent="0.3">
      <c r="A199" s="12" t="s">
        <v>109</v>
      </c>
      <c r="B199" s="11" t="s">
        <v>108</v>
      </c>
      <c r="C199" s="8">
        <f>C196+C197-C198</f>
        <v>81.487781202615281</v>
      </c>
      <c r="D199" s="8">
        <f t="shared" ref="D199:G199" si="59">D196+D197-D198</f>
        <v>85.250896077083766</v>
      </c>
      <c r="E199" s="8">
        <f t="shared" si="59"/>
        <v>87.83450385977757</v>
      </c>
      <c r="F199" s="8">
        <f t="shared" si="59"/>
        <v>79.747748528616683</v>
      </c>
      <c r="G199" s="8">
        <f t="shared" si="59"/>
        <v>107.46250376848737</v>
      </c>
      <c r="H199" s="8"/>
    </row>
    <row r="202" spans="1:8" x14ac:dyDescent="0.3">
      <c r="A202" s="11" t="s">
        <v>124</v>
      </c>
      <c r="C202" s="1" t="s">
        <v>0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12</v>
      </c>
    </row>
    <row r="203" spans="1:8" x14ac:dyDescent="0.3">
      <c r="A203" s="14" t="s">
        <v>110</v>
      </c>
      <c r="C203" s="24">
        <f>AVERAGE(C12, C32, C52, C72, C92, C112, C132, C152, C172, C192)</f>
        <v>1753.6739999999998</v>
      </c>
      <c r="D203" s="24">
        <f>AVERAGE(D12, D32, D52, D72, D92, D112, D132, D152, D172, D192)</f>
        <v>-2333.5449999999987</v>
      </c>
      <c r="E203" s="24">
        <f t="shared" ref="E203:H203" si="60">AVERAGE(E12, E32, E52, E72, E92, E112, E132, E152, E172, E192)</f>
        <v>-892.82600000000093</v>
      </c>
      <c r="F203" s="24">
        <f t="shared" si="60"/>
        <v>3454.7860000000001</v>
      </c>
      <c r="G203" s="24">
        <f t="shared" si="60"/>
        <v>-652.41300000000012</v>
      </c>
      <c r="H203" s="24">
        <f t="shared" si="60"/>
        <v>1301.473</v>
      </c>
    </row>
    <row r="204" spans="1:8" x14ac:dyDescent="0.3">
      <c r="A204" s="14" t="s">
        <v>120</v>
      </c>
      <c r="C204" s="24">
        <f>AVERAGE(C19, C39, C59, C79, C99, C119, C139, C159, C179, C199)</f>
        <v>107.59371616759549</v>
      </c>
      <c r="D204" s="24">
        <f>AVERAGE(D19, D39, D59, D79, D99, D119, D139, D159, D179, D199)</f>
        <v>93.31206816276763</v>
      </c>
      <c r="E204" s="24">
        <f>AVERAGE(E19, E39, E59, E79, E99, E119, E139, E159, E179, E199)</f>
        <v>77.459846586436981</v>
      </c>
      <c r="F204" s="24">
        <f>AVERAGE(F19, F39, F59, F79, F99, F119, F139, F159, F179, F199)</f>
        <v>77.375495659224725</v>
      </c>
      <c r="G204" s="24">
        <f>AVERAGE(G19, G39, G59, G79, G99, G119, G139, G159, G179, G199)</f>
        <v>105.97579089356866</v>
      </c>
      <c r="H204" s="24"/>
    </row>
    <row r="205" spans="1:8" x14ac:dyDescent="0.3">
      <c r="A205" s="11" t="s">
        <v>115</v>
      </c>
    </row>
    <row r="206" spans="1:8" x14ac:dyDescent="0.3">
      <c r="A206" s="14" t="s">
        <v>121</v>
      </c>
      <c r="C206" s="24">
        <f>AVERAGE(C12,C32,C52,C72,C92)</f>
        <v>1466.251999999999</v>
      </c>
      <c r="D206" s="24">
        <f t="shared" ref="D206:G206" si="61">AVERAGE(D12,D32,D52,D72,D92)</f>
        <v>-6766.5359999999973</v>
      </c>
      <c r="E206" s="24">
        <f t="shared" si="61"/>
        <v>-3562.3920000000012</v>
      </c>
      <c r="F206" s="24">
        <f t="shared" si="61"/>
        <v>5605.3160000000007</v>
      </c>
      <c r="G206" s="24">
        <f t="shared" si="61"/>
        <v>-2395.2719999999999</v>
      </c>
    </row>
    <row r="207" spans="1:8" x14ac:dyDescent="0.3">
      <c r="A207" s="14" t="s">
        <v>120</v>
      </c>
      <c r="C207" s="24">
        <f>AVERAGE(C19, C39, C59, C79, C99)</f>
        <v>80.629785577130789</v>
      </c>
      <c r="D207" s="24">
        <f t="shared" ref="D207:G207" si="62">AVERAGE(D19, D39, D59, D79, D99)</f>
        <v>64.089892288841611</v>
      </c>
      <c r="E207" s="24">
        <f t="shared" si="62"/>
        <v>42.401071073242193</v>
      </c>
      <c r="F207" s="24">
        <f t="shared" si="62"/>
        <v>43.935987987185761</v>
      </c>
      <c r="G207" s="24">
        <f t="shared" si="62"/>
        <v>78.458139799732578</v>
      </c>
    </row>
    <row r="208" spans="1:8" x14ac:dyDescent="0.3">
      <c r="A208" s="11" t="s">
        <v>116</v>
      </c>
    </row>
    <row r="209" spans="1:7" x14ac:dyDescent="0.3">
      <c r="A209" s="14" t="s">
        <v>110</v>
      </c>
      <c r="C209" s="24">
        <f>AVERAGE(C112, C132, C152, C172, C192)</f>
        <v>2041.0960000000002</v>
      </c>
      <c r="D209" s="24">
        <f t="shared" ref="D209:G209" si="63">AVERAGE(D112, D132, D152, D172, D192)</f>
        <v>2099.4459999999999</v>
      </c>
      <c r="E209" s="24">
        <f t="shared" si="63"/>
        <v>1776.7399999999998</v>
      </c>
      <c r="F209" s="24">
        <f t="shared" si="63"/>
        <v>1304.2560000000001</v>
      </c>
      <c r="G209" s="24">
        <f t="shared" si="63"/>
        <v>1090.4459999999999</v>
      </c>
    </row>
    <row r="210" spans="1:7" x14ac:dyDescent="0.3">
      <c r="A210" s="14" t="s">
        <v>120</v>
      </c>
      <c r="C210" s="24">
        <f>AVERAGE(C119, C139, C159, C179, C199)</f>
        <v>134.55764675806023</v>
      </c>
      <c r="D210" s="24">
        <f t="shared" ref="D210:G210" si="64">AVERAGE(D119, D139, D159, D179, D199)</f>
        <v>122.53424403669365</v>
      </c>
      <c r="E210" s="24">
        <f t="shared" si="64"/>
        <v>112.51862209963178</v>
      </c>
      <c r="F210" s="24">
        <f t="shared" si="64"/>
        <v>110.81500333126368</v>
      </c>
      <c r="G210" s="24">
        <f t="shared" si="64"/>
        <v>133.49344198740474</v>
      </c>
    </row>
  </sheetData>
  <mergeCells count="10">
    <mergeCell ref="A161:H161"/>
    <mergeCell ref="A121:H121"/>
    <mergeCell ref="A101:H101"/>
    <mergeCell ref="A181:H181"/>
    <mergeCell ref="A1:H1"/>
    <mergeCell ref="A21:H21"/>
    <mergeCell ref="A41:H41"/>
    <mergeCell ref="A61:H61"/>
    <mergeCell ref="A81:H81"/>
    <mergeCell ref="A141:H141"/>
  </mergeCells>
  <pageMargins left="0.7" right="0.7" top="0.75" bottom="0.75" header="0.3" footer="0.3"/>
  <pageSetup scale="62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6772-4055-4420-B17A-C30F42DF9D4F}">
  <dimension ref="A1:H210"/>
  <sheetViews>
    <sheetView topLeftCell="A194" zoomScaleNormal="100" zoomScaleSheetLayoutView="100" workbookViewId="0">
      <selection activeCell="C210" sqref="C210"/>
    </sheetView>
  </sheetViews>
  <sheetFormatPr defaultRowHeight="14.4" x14ac:dyDescent="0.3"/>
  <cols>
    <col min="1" max="1" width="42.44140625" bestFit="1" customWidth="1"/>
    <col min="2" max="2" width="43" bestFit="1" customWidth="1"/>
    <col min="3" max="7" width="9" bestFit="1" customWidth="1"/>
    <col min="8" max="8" width="14.88671875" customWidth="1"/>
  </cols>
  <sheetData>
    <row r="1" spans="1:8" x14ac:dyDescent="0.3">
      <c r="A1" s="26" t="s">
        <v>50</v>
      </c>
      <c r="B1" s="26"/>
      <c r="C1" s="26"/>
      <c r="D1" s="26"/>
      <c r="E1" s="26"/>
      <c r="F1" s="26"/>
      <c r="G1" s="26"/>
      <c r="H1" s="26"/>
    </row>
    <row r="2" spans="1:8" s="1" customFormat="1" x14ac:dyDescent="0.3">
      <c r="A2" s="11" t="s">
        <v>10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12</v>
      </c>
    </row>
    <row r="3" spans="1:8" x14ac:dyDescent="0.3">
      <c r="A3" s="12" t="s">
        <v>8</v>
      </c>
      <c r="B3" s="3"/>
      <c r="C3" s="5">
        <v>52578.44</v>
      </c>
      <c r="D3" s="5">
        <v>48496.85</v>
      </c>
      <c r="E3" s="5">
        <v>43885.68</v>
      </c>
      <c r="F3" s="5">
        <v>38654.49</v>
      </c>
      <c r="G3" s="5">
        <v>33498.14</v>
      </c>
      <c r="H3" s="5">
        <v>32325.17</v>
      </c>
    </row>
    <row r="4" spans="1:8" x14ac:dyDescent="0.3">
      <c r="A4" s="12" t="s">
        <v>11</v>
      </c>
      <c r="B4" s="3"/>
      <c r="C4" s="6">
        <v>10747.359999999999</v>
      </c>
      <c r="D4" s="6">
        <v>11292.869999999999</v>
      </c>
      <c r="E4" s="6">
        <v>11223.48</v>
      </c>
      <c r="F4" s="6">
        <v>10909.349999999999</v>
      </c>
      <c r="G4" s="6">
        <v>8690.08</v>
      </c>
      <c r="H4" s="6">
        <v>9230.4499999999989</v>
      </c>
    </row>
    <row r="5" spans="1:8" x14ac:dyDescent="0.3">
      <c r="A5" s="13" t="s">
        <v>28</v>
      </c>
      <c r="B5" s="3"/>
      <c r="C5" s="6">
        <v>52624.47</v>
      </c>
      <c r="D5" s="6">
        <v>43474.98</v>
      </c>
      <c r="E5" s="6">
        <v>39883.339999999997</v>
      </c>
      <c r="F5" s="6">
        <v>35014.980000000003</v>
      </c>
      <c r="G5" s="6">
        <v>30442.080000000002</v>
      </c>
      <c r="H5" s="6">
        <v>31654.16</v>
      </c>
    </row>
    <row r="6" spans="1:8" x14ac:dyDescent="0.3">
      <c r="A6" s="12" t="s">
        <v>5</v>
      </c>
      <c r="B6" s="1"/>
      <c r="C6" s="6">
        <v>10243.33</v>
      </c>
      <c r="D6" s="6">
        <v>9868.2900000000009</v>
      </c>
      <c r="E6" s="6">
        <v>10513.05</v>
      </c>
      <c r="F6" s="6">
        <v>8996.81</v>
      </c>
      <c r="G6" s="6">
        <v>8997.02</v>
      </c>
      <c r="H6" s="6">
        <v>7874.99</v>
      </c>
    </row>
    <row r="7" spans="1:8" x14ac:dyDescent="0.3">
      <c r="A7" s="12" t="s">
        <v>6</v>
      </c>
      <c r="B7" s="1"/>
      <c r="C7" s="6">
        <v>13046.11</v>
      </c>
      <c r="D7" s="6">
        <v>11249.37</v>
      </c>
      <c r="E7" s="6">
        <v>11438.51</v>
      </c>
      <c r="F7" s="6">
        <v>10592.89</v>
      </c>
      <c r="G7" s="6">
        <v>9061.4</v>
      </c>
      <c r="H7" s="6">
        <v>9421.24</v>
      </c>
    </row>
    <row r="8" spans="1:8" x14ac:dyDescent="0.3">
      <c r="A8" s="13" t="s">
        <v>29</v>
      </c>
      <c r="B8" s="2"/>
      <c r="C8" s="6">
        <v>18194.21</v>
      </c>
      <c r="D8" s="6">
        <v>16984.400000000001</v>
      </c>
      <c r="E8" s="6">
        <v>19907</v>
      </c>
      <c r="F8" s="6">
        <v>17200.55</v>
      </c>
      <c r="G8" s="6">
        <v>16145.63</v>
      </c>
      <c r="H8" s="6">
        <v>15706.43</v>
      </c>
    </row>
    <row r="9" spans="1:8" x14ac:dyDescent="0.3">
      <c r="A9" s="12" t="s">
        <v>7</v>
      </c>
      <c r="B9" s="1"/>
      <c r="C9" s="6">
        <v>6184.34</v>
      </c>
      <c r="D9" s="6">
        <v>5653.3</v>
      </c>
      <c r="E9" s="6">
        <v>5681.52</v>
      </c>
      <c r="F9" s="6">
        <v>4479.34</v>
      </c>
      <c r="G9" s="6">
        <v>3973.66</v>
      </c>
      <c r="H9" s="6">
        <v>3583.64</v>
      </c>
    </row>
    <row r="10" spans="1:8" x14ac:dyDescent="0.3">
      <c r="A10" s="12"/>
      <c r="B10" s="1"/>
      <c r="C10" s="8"/>
      <c r="D10" s="8"/>
      <c r="E10" s="8"/>
      <c r="F10" s="8"/>
      <c r="G10" s="8"/>
      <c r="H10" s="8"/>
    </row>
    <row r="11" spans="1:8" x14ac:dyDescent="0.3">
      <c r="A11" s="4" t="s">
        <v>93</v>
      </c>
      <c r="B11" s="1"/>
      <c r="C11" s="8"/>
      <c r="D11" s="8"/>
      <c r="E11" s="8"/>
      <c r="F11" s="8"/>
      <c r="G11" s="8"/>
      <c r="H11" s="8"/>
    </row>
    <row r="12" spans="1:8" x14ac:dyDescent="0.3">
      <c r="A12" s="12" t="s">
        <v>94</v>
      </c>
      <c r="B12" s="11" t="s">
        <v>95</v>
      </c>
      <c r="C12" s="8">
        <f>C5-C8</f>
        <v>34430.26</v>
      </c>
      <c r="D12" s="8">
        <f t="shared" ref="D12:G12" si="0">D5-D8</f>
        <v>26490.58</v>
      </c>
      <c r="E12" s="8">
        <f t="shared" si="0"/>
        <v>19976.339999999997</v>
      </c>
      <c r="F12" s="8">
        <f t="shared" si="0"/>
        <v>17814.430000000004</v>
      </c>
      <c r="G12" s="8">
        <f t="shared" si="0"/>
        <v>14296.450000000003</v>
      </c>
      <c r="H12" s="8">
        <f>H5-H8</f>
        <v>15947.73</v>
      </c>
    </row>
    <row r="13" spans="1:8" x14ac:dyDescent="0.3">
      <c r="A13" s="12" t="s">
        <v>96</v>
      </c>
      <c r="B13" s="11" t="s">
        <v>103</v>
      </c>
      <c r="C13" s="8">
        <f>(C6+D6)/2</f>
        <v>10055.810000000001</v>
      </c>
      <c r="D13" s="8">
        <f>(D6+E6)/2</f>
        <v>10190.67</v>
      </c>
      <c r="E13" s="8">
        <f>(E6+F6)/2</f>
        <v>9754.93</v>
      </c>
      <c r="F13" s="8">
        <f>(F6+G6)/2</f>
        <v>8996.9150000000009</v>
      </c>
      <c r="G13" s="8">
        <f>(G6+H6)/2</f>
        <v>8436.005000000001</v>
      </c>
      <c r="H13" s="8"/>
    </row>
    <row r="14" spans="1:8" x14ac:dyDescent="0.3">
      <c r="A14" s="12" t="s">
        <v>97</v>
      </c>
      <c r="B14" s="11" t="s">
        <v>104</v>
      </c>
      <c r="C14" s="2">
        <f>(C7+D7)/2</f>
        <v>12147.740000000002</v>
      </c>
      <c r="D14" s="2">
        <f t="shared" ref="D14:G14" si="1">(D7+E7)/2</f>
        <v>11343.94</v>
      </c>
      <c r="E14" s="2">
        <f t="shared" si="1"/>
        <v>11015.7</v>
      </c>
      <c r="F14" s="2">
        <f t="shared" si="1"/>
        <v>9827.1450000000004</v>
      </c>
      <c r="G14" s="2">
        <f t="shared" si="1"/>
        <v>9241.32</v>
      </c>
    </row>
    <row r="15" spans="1:8" x14ac:dyDescent="0.3">
      <c r="A15" s="12" t="s">
        <v>98</v>
      </c>
      <c r="B15" s="11" t="s">
        <v>102</v>
      </c>
      <c r="C15" s="8">
        <f>(C9+D9)/2</f>
        <v>5918.82</v>
      </c>
      <c r="D15" s="8">
        <f t="shared" ref="D15:G15" si="2">(D9+E9)/2</f>
        <v>5667.41</v>
      </c>
      <c r="E15" s="8">
        <f t="shared" si="2"/>
        <v>5080.43</v>
      </c>
      <c r="F15" s="8">
        <f t="shared" si="2"/>
        <v>4226.5</v>
      </c>
      <c r="G15" s="8">
        <f t="shared" si="2"/>
        <v>3778.6499999999996</v>
      </c>
      <c r="H15" s="8"/>
    </row>
    <row r="16" spans="1:8" x14ac:dyDescent="0.3">
      <c r="A16" s="12" t="s">
        <v>105</v>
      </c>
      <c r="B16" s="11" t="s">
        <v>99</v>
      </c>
      <c r="C16" s="8">
        <f>(C13/C4)*365</f>
        <v>341.51369731729477</v>
      </c>
      <c r="D16" s="8">
        <f t="shared" ref="D16:F16" si="3">(D13/D4)*365</f>
        <v>329.37548647952207</v>
      </c>
      <c r="E16" s="8">
        <f t="shared" si="3"/>
        <v>317.24112752907303</v>
      </c>
      <c r="F16" s="8">
        <f t="shared" si="3"/>
        <v>301.01463194415805</v>
      </c>
      <c r="G16" s="8">
        <f>(G13/G4)*365</f>
        <v>354.32836349032465</v>
      </c>
      <c r="H16" s="8"/>
    </row>
    <row r="17" spans="1:8" x14ac:dyDescent="0.3">
      <c r="A17" s="12" t="s">
        <v>106</v>
      </c>
      <c r="B17" s="11" t="s">
        <v>100</v>
      </c>
      <c r="C17" s="8">
        <f>(C14/C3)*365</f>
        <v>84.329719558054606</v>
      </c>
      <c r="D17" s="8">
        <f>(D14/D3)*365</f>
        <v>85.377464721935553</v>
      </c>
      <c r="E17" s="8">
        <f>(E14/E3)*365</f>
        <v>91.618279584593438</v>
      </c>
      <c r="F17" s="8">
        <f>(F14/F3)*365</f>
        <v>92.794082265734218</v>
      </c>
      <c r="G17" s="8">
        <f>(G14/G3)*365</f>
        <v>100.69459975986727</v>
      </c>
      <c r="H17" s="8"/>
    </row>
    <row r="18" spans="1:8" x14ac:dyDescent="0.3">
      <c r="A18" s="12" t="s">
        <v>107</v>
      </c>
      <c r="B18" s="11" t="s">
        <v>101</v>
      </c>
      <c r="C18" s="8">
        <f>(C15/C4)*365</f>
        <v>201.01395133316464</v>
      </c>
      <c r="D18" s="8">
        <f>(D15/D4)*365</f>
        <v>183.17793882334604</v>
      </c>
      <c r="E18" s="8">
        <f t="shared" ref="E18:G18" si="4">(E15/E4)*365</f>
        <v>165.22121035543344</v>
      </c>
      <c r="F18" s="8">
        <f t="shared" si="4"/>
        <v>141.40828738650794</v>
      </c>
      <c r="G18" s="8">
        <f t="shared" si="4"/>
        <v>158.71053546112347</v>
      </c>
      <c r="H18" s="8"/>
    </row>
    <row r="19" spans="1:8" x14ac:dyDescent="0.3">
      <c r="A19" s="12" t="s">
        <v>109</v>
      </c>
      <c r="B19" s="11" t="s">
        <v>108</v>
      </c>
      <c r="C19" s="8">
        <f>C16+C17-C18</f>
        <v>224.82946554218472</v>
      </c>
      <c r="D19" s="8">
        <f t="shared" ref="D19:G19" si="5">D16+D17-D18</f>
        <v>231.57501237811158</v>
      </c>
      <c r="E19" s="8">
        <f t="shared" si="5"/>
        <v>243.63819675823302</v>
      </c>
      <c r="F19" s="8">
        <f t="shared" si="5"/>
        <v>252.40042682338435</v>
      </c>
      <c r="G19" s="8">
        <f t="shared" si="5"/>
        <v>296.31242778906847</v>
      </c>
      <c r="H19" s="8"/>
    </row>
    <row r="20" spans="1:8" x14ac:dyDescent="0.3">
      <c r="A20" s="12"/>
      <c r="B20" s="1"/>
      <c r="C20" s="8"/>
      <c r="D20" s="8"/>
      <c r="E20" s="8"/>
      <c r="F20" s="8"/>
      <c r="G20" s="8"/>
      <c r="H20" s="8"/>
    </row>
    <row r="21" spans="1:8" x14ac:dyDescent="0.3">
      <c r="A21" s="26" t="s">
        <v>51</v>
      </c>
      <c r="B21" s="26"/>
      <c r="C21" s="26"/>
      <c r="D21" s="26"/>
      <c r="E21" s="26"/>
      <c r="F21" s="26"/>
      <c r="G21" s="26"/>
      <c r="H21" s="26"/>
    </row>
    <row r="22" spans="1:8" x14ac:dyDescent="0.3">
      <c r="A22" s="11" t="s">
        <v>10</v>
      </c>
      <c r="B22" s="1"/>
      <c r="C22" s="1" t="s">
        <v>0</v>
      </c>
      <c r="D22" s="1" t="s">
        <v>1</v>
      </c>
      <c r="E22" s="1" t="s">
        <v>2</v>
      </c>
      <c r="F22" s="1" t="s">
        <v>3</v>
      </c>
      <c r="G22" s="1" t="s">
        <v>4</v>
      </c>
      <c r="H22" s="1" t="s">
        <v>12</v>
      </c>
    </row>
    <row r="23" spans="1:8" x14ac:dyDescent="0.3">
      <c r="A23" s="12" t="s">
        <v>8</v>
      </c>
      <c r="B23" s="3"/>
      <c r="C23" s="6">
        <v>32643.9</v>
      </c>
      <c r="D23" s="6">
        <v>28011.1</v>
      </c>
      <c r="E23" s="6">
        <v>24669.7</v>
      </c>
      <c r="F23" s="6">
        <v>21545.200000000001</v>
      </c>
      <c r="G23" s="6">
        <v>19047.5</v>
      </c>
      <c r="H23" s="6">
        <v>17517</v>
      </c>
    </row>
    <row r="24" spans="1:8" x14ac:dyDescent="0.3">
      <c r="A24" s="12" t="s">
        <v>11</v>
      </c>
      <c r="B24" s="3"/>
      <c r="C24" s="8">
        <v>9979.9</v>
      </c>
      <c r="D24" s="8">
        <v>8208.7000000000007</v>
      </c>
      <c r="E24" s="8">
        <v>7657.7</v>
      </c>
      <c r="F24" s="8">
        <v>7442.2</v>
      </c>
      <c r="G24" s="8">
        <v>6078.9</v>
      </c>
      <c r="H24" s="6">
        <v>5554.4000000000005</v>
      </c>
    </row>
    <row r="25" spans="1:8" x14ac:dyDescent="0.3">
      <c r="A25" s="12" t="s">
        <v>28</v>
      </c>
      <c r="B25" s="4"/>
      <c r="C25" s="8">
        <v>25018.1</v>
      </c>
      <c r="D25" s="8">
        <v>24805.3</v>
      </c>
      <c r="E25" s="8">
        <v>20425.5</v>
      </c>
      <c r="F25" s="8">
        <v>17782.3</v>
      </c>
      <c r="G25" s="8">
        <v>14550.3</v>
      </c>
      <c r="H25" s="6">
        <v>12599.1</v>
      </c>
    </row>
    <row r="26" spans="1:8" x14ac:dyDescent="0.3">
      <c r="A26" s="12" t="s">
        <v>5</v>
      </c>
      <c r="B26" s="1"/>
      <c r="C26" s="8">
        <v>7108.5</v>
      </c>
      <c r="D26" s="8">
        <v>6355.2</v>
      </c>
      <c r="E26" s="8">
        <v>4867</v>
      </c>
      <c r="F26" s="8">
        <v>5088.3999999999996</v>
      </c>
      <c r="G26" s="8">
        <v>4541.2</v>
      </c>
      <c r="H26" s="6">
        <v>3506.7</v>
      </c>
    </row>
    <row r="27" spans="1:8" x14ac:dyDescent="0.3">
      <c r="A27" s="12" t="s">
        <v>6</v>
      </c>
      <c r="B27" s="1"/>
      <c r="C27" s="8">
        <v>9042</v>
      </c>
      <c r="D27" s="8">
        <v>8029.8</v>
      </c>
      <c r="E27" s="8">
        <v>7248.5</v>
      </c>
      <c r="F27" s="8">
        <v>6676.4</v>
      </c>
      <c r="G27" s="8">
        <v>4964.1000000000004</v>
      </c>
      <c r="H27" s="6">
        <v>5027.8</v>
      </c>
    </row>
    <row r="28" spans="1:8" x14ac:dyDescent="0.3">
      <c r="A28" s="12" t="s">
        <v>29</v>
      </c>
      <c r="B28" s="4"/>
      <c r="C28" s="8">
        <v>13033.8</v>
      </c>
      <c r="D28" s="8">
        <v>9588</v>
      </c>
      <c r="E28" s="8">
        <v>8572.1</v>
      </c>
      <c r="F28" s="8">
        <v>9765.7999999999993</v>
      </c>
      <c r="G28" s="8">
        <v>8103.8</v>
      </c>
      <c r="H28" s="6">
        <v>7214.1</v>
      </c>
    </row>
    <row r="29" spans="1:8" x14ac:dyDescent="0.3">
      <c r="A29" s="12" t="s">
        <v>7</v>
      </c>
      <c r="B29" s="1"/>
      <c r="C29" s="8">
        <v>2647.8</v>
      </c>
      <c r="D29" s="8">
        <v>2614.4</v>
      </c>
      <c r="E29" s="8">
        <v>2268.4</v>
      </c>
      <c r="F29" s="8">
        <v>2266.1999999999998</v>
      </c>
      <c r="G29" s="8">
        <v>1810.9</v>
      </c>
      <c r="H29" s="6">
        <v>1524.8</v>
      </c>
    </row>
    <row r="30" spans="1:8" x14ac:dyDescent="0.3">
      <c r="A30" s="12"/>
      <c r="B30" s="1"/>
      <c r="C30" s="6"/>
      <c r="D30" s="6"/>
      <c r="E30" s="6"/>
      <c r="F30" s="6"/>
      <c r="G30" s="6"/>
      <c r="H30" s="6"/>
    </row>
    <row r="31" spans="1:8" x14ac:dyDescent="0.3">
      <c r="A31" s="4" t="s">
        <v>93</v>
      </c>
      <c r="B31" s="1"/>
      <c r="C31" s="8"/>
      <c r="D31" s="8"/>
      <c r="E31" s="8"/>
      <c r="F31" s="8"/>
      <c r="G31" s="8"/>
      <c r="H31" s="8"/>
    </row>
    <row r="32" spans="1:8" x14ac:dyDescent="0.3">
      <c r="A32" s="12" t="s">
        <v>94</v>
      </c>
      <c r="B32" s="11" t="s">
        <v>95</v>
      </c>
      <c r="C32" s="8">
        <f>C25-C28</f>
        <v>11984.3</v>
      </c>
      <c r="D32" s="8">
        <f t="shared" ref="D32:G32" si="6">D25-D28</f>
        <v>15217.3</v>
      </c>
      <c r="E32" s="8">
        <f t="shared" si="6"/>
        <v>11853.4</v>
      </c>
      <c r="F32" s="8">
        <f t="shared" si="6"/>
        <v>8016.5</v>
      </c>
      <c r="G32" s="8">
        <f t="shared" si="6"/>
        <v>6446.4999999999991</v>
      </c>
      <c r="H32" s="8">
        <f>H25-H28</f>
        <v>5385</v>
      </c>
    </row>
    <row r="33" spans="1:8" x14ac:dyDescent="0.3">
      <c r="A33" s="12" t="s">
        <v>96</v>
      </c>
      <c r="B33" s="11" t="s">
        <v>103</v>
      </c>
      <c r="C33" s="8">
        <f>(C26+D26)/2</f>
        <v>6731.85</v>
      </c>
      <c r="D33" s="8">
        <f>(D26+E26)/2</f>
        <v>5611.1</v>
      </c>
      <c r="E33" s="8">
        <f>(E26+F26)/2</f>
        <v>4977.7</v>
      </c>
      <c r="F33" s="8">
        <f>(F26+G26)/2</f>
        <v>4814.7999999999993</v>
      </c>
      <c r="G33" s="8">
        <f>(G26+H26)/2</f>
        <v>4023.95</v>
      </c>
      <c r="H33" s="8"/>
    </row>
    <row r="34" spans="1:8" x14ac:dyDescent="0.3">
      <c r="A34" s="12" t="s">
        <v>97</v>
      </c>
      <c r="B34" s="11" t="s">
        <v>104</v>
      </c>
      <c r="C34" s="2">
        <f>(C27+D27)/2</f>
        <v>8535.9</v>
      </c>
      <c r="D34" s="2">
        <f t="shared" ref="D34:G34" si="7">(D27+E27)/2</f>
        <v>7639.15</v>
      </c>
      <c r="E34" s="2">
        <f t="shared" si="7"/>
        <v>6962.45</v>
      </c>
      <c r="F34" s="2">
        <f t="shared" si="7"/>
        <v>5820.25</v>
      </c>
      <c r="G34" s="2">
        <f t="shared" si="7"/>
        <v>4995.9500000000007</v>
      </c>
    </row>
    <row r="35" spans="1:8" x14ac:dyDescent="0.3">
      <c r="A35" s="12" t="s">
        <v>98</v>
      </c>
      <c r="B35" s="11" t="s">
        <v>102</v>
      </c>
      <c r="C35" s="8">
        <f>(C29+D29)/2</f>
        <v>2631.1000000000004</v>
      </c>
      <c r="D35" s="8">
        <f t="shared" ref="D35:G35" si="8">(D29+E29)/2</f>
        <v>2441.4</v>
      </c>
      <c r="E35" s="8">
        <f t="shared" si="8"/>
        <v>2267.3000000000002</v>
      </c>
      <c r="F35" s="8">
        <f t="shared" si="8"/>
        <v>2038.55</v>
      </c>
      <c r="G35" s="8">
        <f t="shared" si="8"/>
        <v>1667.85</v>
      </c>
      <c r="H35" s="8"/>
    </row>
    <row r="36" spans="1:8" x14ac:dyDescent="0.3">
      <c r="A36" s="12" t="s">
        <v>105</v>
      </c>
      <c r="B36" s="11" t="s">
        <v>99</v>
      </c>
      <c r="C36" s="8">
        <f>(C33/C24)*365</f>
        <v>246.20740187777434</v>
      </c>
      <c r="D36" s="8">
        <f t="shared" ref="D36:F36" si="9">(D33/D24)*365</f>
        <v>249.49766710928648</v>
      </c>
      <c r="E36" s="8">
        <f t="shared" si="9"/>
        <v>237.25929456625357</v>
      </c>
      <c r="F36" s="8">
        <f t="shared" si="9"/>
        <v>236.14011985703146</v>
      </c>
      <c r="G36" s="8">
        <f>(G33/G24)*365</f>
        <v>241.6130796690191</v>
      </c>
      <c r="H36" s="8"/>
    </row>
    <row r="37" spans="1:8" x14ac:dyDescent="0.3">
      <c r="A37" s="12" t="s">
        <v>106</v>
      </c>
      <c r="B37" s="11" t="s">
        <v>100</v>
      </c>
      <c r="C37" s="8">
        <f>(C34/C23)*365</f>
        <v>95.442134671408738</v>
      </c>
      <c r="D37" s="8">
        <f>(D34/D23)*365</f>
        <v>99.542315367836309</v>
      </c>
      <c r="E37" s="8">
        <f>(E34/E23)*365</f>
        <v>103.01277478039863</v>
      </c>
      <c r="F37" s="8">
        <f>(F34/F23)*365</f>
        <v>98.601602677162418</v>
      </c>
      <c r="G37" s="8">
        <f>(G34/G23)*365</f>
        <v>95.73549022181389</v>
      </c>
      <c r="H37" s="8"/>
    </row>
    <row r="38" spans="1:8" x14ac:dyDescent="0.3">
      <c r="A38" s="12" t="s">
        <v>107</v>
      </c>
      <c r="B38" s="11" t="s">
        <v>101</v>
      </c>
      <c r="C38" s="8">
        <f>(C35/C24)*365</f>
        <v>96.228569424543352</v>
      </c>
      <c r="D38" s="8">
        <f>(D35/D24)*365</f>
        <v>108.55689695079612</v>
      </c>
      <c r="E38" s="8">
        <f t="shared" ref="E38:G38" si="10">(E35/E24)*365</f>
        <v>108.06959008579599</v>
      </c>
      <c r="F38" s="8">
        <f t="shared" si="10"/>
        <v>99.979945446239014</v>
      </c>
      <c r="G38" s="8">
        <f t="shared" si="10"/>
        <v>100.14398164141539</v>
      </c>
      <c r="H38" s="8"/>
    </row>
    <row r="39" spans="1:8" x14ac:dyDescent="0.3">
      <c r="A39" s="12" t="s">
        <v>109</v>
      </c>
      <c r="B39" s="11" t="s">
        <v>108</v>
      </c>
      <c r="C39" s="8">
        <f>C36+C37-C38</f>
        <v>245.42096712463973</v>
      </c>
      <c r="D39" s="8">
        <f t="shared" ref="D39:G39" si="11">D36+D37-D38</f>
        <v>240.4830855263267</v>
      </c>
      <c r="E39" s="8">
        <f t="shared" si="11"/>
        <v>232.20247926085619</v>
      </c>
      <c r="F39" s="8">
        <f t="shared" si="11"/>
        <v>234.76177708795484</v>
      </c>
      <c r="G39" s="8">
        <f t="shared" si="11"/>
        <v>237.20458824941761</v>
      </c>
      <c r="H39" s="8"/>
    </row>
    <row r="40" spans="1:8" x14ac:dyDescent="0.3">
      <c r="A40" s="12"/>
      <c r="B40" s="1"/>
      <c r="C40" s="6"/>
      <c r="D40" s="6"/>
      <c r="E40" s="6"/>
      <c r="F40" s="6"/>
      <c r="G40" s="6"/>
      <c r="H40" s="6"/>
    </row>
    <row r="41" spans="1:8" x14ac:dyDescent="0.3">
      <c r="A41" s="26" t="s">
        <v>52</v>
      </c>
      <c r="B41" s="26"/>
      <c r="C41" s="26"/>
      <c r="D41" s="26"/>
      <c r="E41" s="26"/>
      <c r="F41" s="26"/>
      <c r="G41" s="26"/>
      <c r="H41" s="26"/>
    </row>
    <row r="42" spans="1:8" x14ac:dyDescent="0.3">
      <c r="A42" s="11" t="s">
        <v>10</v>
      </c>
      <c r="B42" s="1"/>
      <c r="C42" s="1" t="s">
        <v>0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12</v>
      </c>
    </row>
    <row r="43" spans="1:8" x14ac:dyDescent="0.3">
      <c r="A43" s="12" t="s">
        <v>8</v>
      </c>
      <c r="B43" s="3"/>
      <c r="C43" s="6">
        <v>31723.73</v>
      </c>
      <c r="D43" s="6">
        <v>29001.87</v>
      </c>
      <c r="E43" s="6">
        <v>24855.38</v>
      </c>
      <c r="F43" s="6">
        <v>23455.49</v>
      </c>
      <c r="G43" s="6">
        <v>24774.62</v>
      </c>
      <c r="H43" s="7">
        <v>23098.51</v>
      </c>
    </row>
    <row r="44" spans="1:8" x14ac:dyDescent="0.3">
      <c r="A44" s="12" t="s">
        <v>11</v>
      </c>
      <c r="B44" s="3"/>
      <c r="C44" s="7">
        <v>13026.240000000002</v>
      </c>
      <c r="D44" s="7">
        <v>12602.9</v>
      </c>
      <c r="E44" s="7">
        <v>11293.26</v>
      </c>
      <c r="F44" s="7">
        <v>10140.280000000001</v>
      </c>
      <c r="G44" s="7">
        <v>9902.4700000000012</v>
      </c>
      <c r="H44" s="7">
        <v>9735.23</v>
      </c>
    </row>
    <row r="45" spans="1:8" x14ac:dyDescent="0.3">
      <c r="A45" s="12" t="s">
        <v>28</v>
      </c>
      <c r="B45" s="3"/>
      <c r="C45" s="7">
        <v>27162.46</v>
      </c>
      <c r="D45" s="7">
        <v>24205.63</v>
      </c>
      <c r="E45" s="7">
        <v>21545.67</v>
      </c>
      <c r="F45" s="7">
        <v>18122.689999999999</v>
      </c>
      <c r="G45" s="7">
        <v>19823.509999999998</v>
      </c>
      <c r="H45" s="7">
        <v>16412.5</v>
      </c>
    </row>
    <row r="46" spans="1:8" x14ac:dyDescent="0.3">
      <c r="A46" s="12" t="s">
        <v>5</v>
      </c>
      <c r="B46" s="1"/>
      <c r="C46" s="6">
        <v>10543.72</v>
      </c>
      <c r="D46" s="6">
        <v>9808.23</v>
      </c>
      <c r="E46" s="6">
        <v>8511.23</v>
      </c>
      <c r="F46" s="6">
        <v>7553.85</v>
      </c>
      <c r="G46" s="6">
        <v>9026.57</v>
      </c>
      <c r="H46" s="7">
        <v>7699.87</v>
      </c>
    </row>
    <row r="47" spans="1:8" x14ac:dyDescent="0.3">
      <c r="A47" s="12" t="s">
        <v>6</v>
      </c>
      <c r="B47" s="1"/>
      <c r="C47" s="6">
        <v>5745.93</v>
      </c>
      <c r="D47" s="6">
        <v>4816.74</v>
      </c>
      <c r="E47" s="6">
        <v>4466.38</v>
      </c>
      <c r="F47" s="6">
        <v>4012.26</v>
      </c>
      <c r="G47" s="6">
        <v>3503.28</v>
      </c>
      <c r="H47" s="6">
        <v>4315.1499999999996</v>
      </c>
    </row>
    <row r="48" spans="1:8" x14ac:dyDescent="0.3">
      <c r="A48" s="12" t="s">
        <v>29</v>
      </c>
      <c r="B48" s="3"/>
      <c r="C48" s="7">
        <v>14682.34</v>
      </c>
      <c r="D48" s="7">
        <v>12199.13</v>
      </c>
      <c r="E48" s="7">
        <v>11493.78</v>
      </c>
      <c r="F48" s="7">
        <v>8155.98</v>
      </c>
      <c r="G48" s="7">
        <v>10665.15</v>
      </c>
      <c r="H48" s="7">
        <v>11386.75</v>
      </c>
    </row>
    <row r="49" spans="1:8" x14ac:dyDescent="0.3">
      <c r="A49" s="12" t="s">
        <v>7</v>
      </c>
      <c r="B49" s="1"/>
      <c r="C49" s="6">
        <v>4188.8500000000004</v>
      </c>
      <c r="D49" s="6">
        <v>4454.16</v>
      </c>
      <c r="E49" s="6">
        <v>3871.31</v>
      </c>
      <c r="F49" s="6">
        <v>2703.05</v>
      </c>
      <c r="G49" s="6">
        <v>2794.68</v>
      </c>
      <c r="H49" s="7">
        <v>2545.0100000000002</v>
      </c>
    </row>
    <row r="50" spans="1:8" x14ac:dyDescent="0.3">
      <c r="A50" s="12"/>
      <c r="B50" s="1"/>
      <c r="C50" s="6"/>
      <c r="D50" s="6"/>
      <c r="E50" s="6"/>
      <c r="F50" s="6"/>
      <c r="G50" s="6"/>
      <c r="H50" s="7"/>
    </row>
    <row r="51" spans="1:8" x14ac:dyDescent="0.3">
      <c r="A51" s="4" t="s">
        <v>93</v>
      </c>
      <c r="B51" s="1"/>
      <c r="C51" s="8"/>
      <c r="D51" s="8"/>
      <c r="E51" s="8"/>
      <c r="F51" s="8"/>
      <c r="G51" s="8"/>
      <c r="H51" s="8"/>
    </row>
    <row r="52" spans="1:8" x14ac:dyDescent="0.3">
      <c r="A52" s="12" t="s">
        <v>94</v>
      </c>
      <c r="B52" s="11" t="s">
        <v>95</v>
      </c>
      <c r="C52" s="8">
        <f>C45-C48</f>
        <v>12480.119999999999</v>
      </c>
      <c r="D52" s="8">
        <f t="shared" ref="D52:G52" si="12">D45-D48</f>
        <v>12006.500000000002</v>
      </c>
      <c r="E52" s="8">
        <f t="shared" si="12"/>
        <v>10051.889999999998</v>
      </c>
      <c r="F52" s="8">
        <f t="shared" si="12"/>
        <v>9966.7099999999991</v>
      </c>
      <c r="G52" s="8">
        <f t="shared" si="12"/>
        <v>9158.3599999999988</v>
      </c>
      <c r="H52" s="8">
        <f>H45-H48</f>
        <v>5025.75</v>
      </c>
    </row>
    <row r="53" spans="1:8" x14ac:dyDescent="0.3">
      <c r="A53" s="12" t="s">
        <v>96</v>
      </c>
      <c r="B53" s="11" t="s">
        <v>103</v>
      </c>
      <c r="C53" s="8">
        <f>(C46+D46)/2</f>
        <v>10175.974999999999</v>
      </c>
      <c r="D53" s="8">
        <f>(D46+E46)/2</f>
        <v>9159.73</v>
      </c>
      <c r="E53" s="8">
        <f>(E46+F46)/2</f>
        <v>8032.54</v>
      </c>
      <c r="F53" s="8">
        <f>(F46+G46)/2</f>
        <v>8290.2099999999991</v>
      </c>
      <c r="G53" s="8">
        <f>(G46+H46)/2</f>
        <v>8363.2199999999993</v>
      </c>
      <c r="H53" s="8"/>
    </row>
    <row r="54" spans="1:8" x14ac:dyDescent="0.3">
      <c r="A54" s="12" t="s">
        <v>97</v>
      </c>
      <c r="B54" s="11" t="s">
        <v>104</v>
      </c>
      <c r="C54" s="2">
        <f>(C47+D47)/2</f>
        <v>5281.335</v>
      </c>
      <c r="D54" s="2">
        <f t="shared" ref="D54:G54" si="13">(D47+E47)/2</f>
        <v>4641.5599999999995</v>
      </c>
      <c r="E54" s="2">
        <f t="shared" si="13"/>
        <v>4239.32</v>
      </c>
      <c r="F54" s="2">
        <f t="shared" si="13"/>
        <v>3757.7700000000004</v>
      </c>
      <c r="G54" s="2">
        <f t="shared" si="13"/>
        <v>3909.2150000000001</v>
      </c>
    </row>
    <row r="55" spans="1:8" x14ac:dyDescent="0.3">
      <c r="A55" s="12" t="s">
        <v>98</v>
      </c>
      <c r="B55" s="11" t="s">
        <v>102</v>
      </c>
      <c r="C55" s="8">
        <f>(C49+D49)/2</f>
        <v>4321.5050000000001</v>
      </c>
      <c r="D55" s="8">
        <f t="shared" ref="D55:G55" si="14">(D49+E49)/2</f>
        <v>4162.7349999999997</v>
      </c>
      <c r="E55" s="8">
        <f t="shared" si="14"/>
        <v>3287.1800000000003</v>
      </c>
      <c r="F55" s="8">
        <f t="shared" si="14"/>
        <v>2748.8649999999998</v>
      </c>
      <c r="G55" s="8">
        <f t="shared" si="14"/>
        <v>2669.8450000000003</v>
      </c>
      <c r="H55" s="8"/>
    </row>
    <row r="56" spans="1:8" x14ac:dyDescent="0.3">
      <c r="A56" s="12" t="s">
        <v>105</v>
      </c>
      <c r="B56" s="11" t="s">
        <v>99</v>
      </c>
      <c r="C56" s="8">
        <f>(C53/C44)*365</f>
        <v>285.13453421708789</v>
      </c>
      <c r="D56" s="8">
        <f t="shared" ref="D56:F56" si="15">(D53/D44)*365</f>
        <v>265.28032833712876</v>
      </c>
      <c r="E56" s="8">
        <f t="shared" si="15"/>
        <v>259.61299925796447</v>
      </c>
      <c r="F56" s="8">
        <f t="shared" si="15"/>
        <v>298.40661697704593</v>
      </c>
      <c r="G56" s="8">
        <f>(G53/G44)*365</f>
        <v>308.26402907557406</v>
      </c>
      <c r="H56" s="8"/>
    </row>
    <row r="57" spans="1:8" x14ac:dyDescent="0.3">
      <c r="A57" s="12" t="s">
        <v>106</v>
      </c>
      <c r="B57" s="11" t="s">
        <v>100</v>
      </c>
      <c r="C57" s="8">
        <f>(C54/C43)*365</f>
        <v>60.764836764151006</v>
      </c>
      <c r="D57" s="8">
        <f>(D54/D43)*365</f>
        <v>58.415867666464266</v>
      </c>
      <c r="E57" s="8">
        <f>(E54/E43)*365</f>
        <v>62.254200096719501</v>
      </c>
      <c r="F57" s="8">
        <f>(F54/F43)*365</f>
        <v>58.476120089582437</v>
      </c>
      <c r="G57" s="8">
        <f>(G54/G43)*365</f>
        <v>57.593758249369728</v>
      </c>
      <c r="H57" s="8"/>
    </row>
    <row r="58" spans="1:8" x14ac:dyDescent="0.3">
      <c r="A58" s="12" t="s">
        <v>107</v>
      </c>
      <c r="B58" s="11" t="s">
        <v>101</v>
      </c>
      <c r="C58" s="8">
        <f>(C55/C44)*365</f>
        <v>121.09014765580858</v>
      </c>
      <c r="D58" s="8">
        <f>(D55/D44)*365</f>
        <v>120.55941688024184</v>
      </c>
      <c r="E58" s="8">
        <f t="shared" ref="E58:G58" si="16">(E55/E44)*365</f>
        <v>106.24219224564033</v>
      </c>
      <c r="F58" s="8">
        <f t="shared" si="16"/>
        <v>98.945564126434348</v>
      </c>
      <c r="G58" s="8">
        <f t="shared" si="16"/>
        <v>98.409126712830229</v>
      </c>
      <c r="H58" s="8"/>
    </row>
    <row r="59" spans="1:8" x14ac:dyDescent="0.3">
      <c r="A59" s="12" t="s">
        <v>109</v>
      </c>
      <c r="B59" s="11" t="s">
        <v>108</v>
      </c>
      <c r="C59" s="8">
        <f>C56+C57-C58</f>
        <v>224.80922332543034</v>
      </c>
      <c r="D59" s="8">
        <f t="shared" ref="D59:G59" si="17">D56+D57-D58</f>
        <v>203.13677912335123</v>
      </c>
      <c r="E59" s="8">
        <f t="shared" si="17"/>
        <v>215.62500710904365</v>
      </c>
      <c r="F59" s="8">
        <f t="shared" si="17"/>
        <v>257.93717294019399</v>
      </c>
      <c r="G59" s="8">
        <f t="shared" si="17"/>
        <v>267.44866061211354</v>
      </c>
      <c r="H59" s="8"/>
    </row>
    <row r="60" spans="1:8" x14ac:dyDescent="0.3">
      <c r="A60" s="14"/>
      <c r="B60" s="2"/>
      <c r="C60" s="2"/>
      <c r="D60" s="2"/>
      <c r="E60" s="2"/>
      <c r="F60" s="2"/>
      <c r="G60" s="2"/>
      <c r="H60" s="2"/>
    </row>
    <row r="61" spans="1:8" x14ac:dyDescent="0.3">
      <c r="A61" s="26" t="s">
        <v>53</v>
      </c>
      <c r="B61" s="26"/>
      <c r="C61" s="26"/>
      <c r="D61" s="26"/>
      <c r="E61" s="26"/>
      <c r="F61" s="26"/>
      <c r="G61" s="26"/>
      <c r="H61" s="26"/>
    </row>
    <row r="62" spans="1:8" x14ac:dyDescent="0.3">
      <c r="A62" s="11" t="s">
        <v>10</v>
      </c>
      <c r="B62" s="1"/>
      <c r="C62" s="1" t="s">
        <v>0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12</v>
      </c>
    </row>
    <row r="63" spans="1:8" x14ac:dyDescent="0.3">
      <c r="A63" s="12" t="s">
        <v>8</v>
      </c>
      <c r="B63" s="3"/>
      <c r="C63" s="6">
        <v>27547.62</v>
      </c>
      <c r="D63" s="6">
        <v>25774.09</v>
      </c>
      <c r="E63" s="6">
        <v>22753.119999999999</v>
      </c>
      <c r="F63" s="6">
        <v>21763.34</v>
      </c>
      <c r="G63" s="6">
        <v>19159.59</v>
      </c>
      <c r="H63" s="6">
        <v>17131.990000000002</v>
      </c>
    </row>
    <row r="64" spans="1:8" x14ac:dyDescent="0.3">
      <c r="A64" s="12" t="s">
        <v>11</v>
      </c>
      <c r="B64" s="3"/>
      <c r="C64" s="6">
        <v>9596.7099999999991</v>
      </c>
      <c r="D64" s="6">
        <v>9460.1900000000023</v>
      </c>
      <c r="E64" s="6">
        <v>8252.2799999999988</v>
      </c>
      <c r="F64" s="6">
        <v>8495.6</v>
      </c>
      <c r="G64" s="6">
        <v>7351.89</v>
      </c>
      <c r="H64" s="7">
        <v>5991.42</v>
      </c>
    </row>
    <row r="65" spans="1:8" x14ac:dyDescent="0.3">
      <c r="A65" s="12" t="s">
        <v>28</v>
      </c>
      <c r="B65" s="3"/>
      <c r="C65" s="6">
        <v>23288.52</v>
      </c>
      <c r="D65" s="6">
        <v>19441.41</v>
      </c>
      <c r="E65" s="6">
        <v>17274.95</v>
      </c>
      <c r="F65" s="6">
        <v>14727.54</v>
      </c>
      <c r="G65" s="6">
        <v>13209.51</v>
      </c>
      <c r="H65" s="7">
        <v>11706.18</v>
      </c>
    </row>
    <row r="66" spans="1:8" x14ac:dyDescent="0.3">
      <c r="A66" s="12" t="s">
        <v>5</v>
      </c>
      <c r="B66" s="1"/>
      <c r="C66" s="6">
        <v>5642.11</v>
      </c>
      <c r="D66" s="6">
        <v>5237.95</v>
      </c>
      <c r="E66" s="6">
        <v>5156.43</v>
      </c>
      <c r="F66" s="6">
        <v>5350.24</v>
      </c>
      <c r="G66" s="6">
        <v>4669.18</v>
      </c>
      <c r="H66" s="6">
        <v>4377.6000000000004</v>
      </c>
    </row>
    <row r="67" spans="1:8" x14ac:dyDescent="0.3">
      <c r="A67" s="12" t="s">
        <v>6</v>
      </c>
      <c r="B67" s="1"/>
      <c r="C67" s="6">
        <v>5506.37</v>
      </c>
      <c r="D67" s="6">
        <v>4770.66</v>
      </c>
      <c r="E67" s="6">
        <v>4057</v>
      </c>
      <c r="F67" s="6">
        <v>3424.44</v>
      </c>
      <c r="G67" s="6">
        <v>3445.68</v>
      </c>
      <c r="H67" s="6">
        <v>3891.31</v>
      </c>
    </row>
    <row r="68" spans="1:8" x14ac:dyDescent="0.3">
      <c r="A68" s="12" t="s">
        <v>29</v>
      </c>
      <c r="B68" s="3"/>
      <c r="C68" s="6">
        <v>5483.96</v>
      </c>
      <c r="D68" s="6">
        <v>5245.77</v>
      </c>
      <c r="E68" s="6">
        <v>5109.67</v>
      </c>
      <c r="F68" s="6">
        <v>4913.21</v>
      </c>
      <c r="G68" s="6">
        <v>4591.55</v>
      </c>
      <c r="H68" s="7">
        <v>4393.1400000000003</v>
      </c>
    </row>
    <row r="69" spans="1:8" x14ac:dyDescent="0.3">
      <c r="A69" s="12" t="s">
        <v>7</v>
      </c>
      <c r="B69" s="1"/>
      <c r="C69" s="6">
        <v>2837.49</v>
      </c>
      <c r="D69" s="6">
        <v>2473.98</v>
      </c>
      <c r="E69" s="6">
        <v>2457.0500000000002</v>
      </c>
      <c r="F69" s="6">
        <v>2508.1</v>
      </c>
      <c r="G69" s="6">
        <v>2066.8200000000002</v>
      </c>
      <c r="H69" s="6">
        <v>2281.81</v>
      </c>
    </row>
    <row r="70" spans="1:8" x14ac:dyDescent="0.3">
      <c r="A70" s="14"/>
      <c r="B70" s="2"/>
      <c r="C70" s="2"/>
      <c r="D70" s="2"/>
      <c r="E70" s="2"/>
      <c r="F70" s="2"/>
      <c r="G70" s="2"/>
      <c r="H70" s="2"/>
    </row>
    <row r="71" spans="1:8" x14ac:dyDescent="0.3">
      <c r="A71" s="4" t="s">
        <v>93</v>
      </c>
      <c r="B71" s="1"/>
      <c r="C71" s="8"/>
      <c r="D71" s="8"/>
      <c r="E71" s="8"/>
      <c r="F71" s="8"/>
      <c r="G71" s="8"/>
      <c r="H71" s="8"/>
    </row>
    <row r="72" spans="1:8" x14ac:dyDescent="0.3">
      <c r="A72" s="12" t="s">
        <v>94</v>
      </c>
      <c r="B72" s="11" t="s">
        <v>95</v>
      </c>
      <c r="C72" s="8">
        <f>C65-C68</f>
        <v>17804.560000000001</v>
      </c>
      <c r="D72" s="8">
        <f t="shared" ref="D72:G72" si="18">D65-D68</f>
        <v>14195.64</v>
      </c>
      <c r="E72" s="8">
        <f t="shared" si="18"/>
        <v>12165.28</v>
      </c>
      <c r="F72" s="8">
        <f t="shared" si="18"/>
        <v>9814.3300000000017</v>
      </c>
      <c r="G72" s="8">
        <f t="shared" si="18"/>
        <v>8617.9599999999991</v>
      </c>
      <c r="H72" s="8">
        <f>H65-H68</f>
        <v>7313.04</v>
      </c>
    </row>
    <row r="73" spans="1:8" x14ac:dyDescent="0.3">
      <c r="A73" s="12" t="s">
        <v>96</v>
      </c>
      <c r="B73" s="11" t="s">
        <v>103</v>
      </c>
      <c r="C73" s="8">
        <f>(C66+D66)/2</f>
        <v>5440.03</v>
      </c>
      <c r="D73" s="8">
        <f>(D66+E66)/2</f>
        <v>5197.1900000000005</v>
      </c>
      <c r="E73" s="8">
        <f>(E66+F66)/2</f>
        <v>5253.335</v>
      </c>
      <c r="F73" s="8">
        <f>(F66+G66)/2</f>
        <v>5009.71</v>
      </c>
      <c r="G73" s="8">
        <f>(G66+H66)/2</f>
        <v>4523.3900000000003</v>
      </c>
      <c r="H73" s="8"/>
    </row>
    <row r="74" spans="1:8" x14ac:dyDescent="0.3">
      <c r="A74" s="12" t="s">
        <v>97</v>
      </c>
      <c r="B74" s="11" t="s">
        <v>104</v>
      </c>
      <c r="C74" s="2">
        <f>(C67+D67)/2</f>
        <v>5138.5149999999994</v>
      </c>
      <c r="D74" s="2">
        <f t="shared" ref="D74:G74" si="19">(D67+E67)/2</f>
        <v>4413.83</v>
      </c>
      <c r="E74" s="2">
        <f t="shared" si="19"/>
        <v>3740.7200000000003</v>
      </c>
      <c r="F74" s="2">
        <f t="shared" si="19"/>
        <v>3435.06</v>
      </c>
      <c r="G74" s="2">
        <f t="shared" si="19"/>
        <v>3668.4949999999999</v>
      </c>
    </row>
    <row r="75" spans="1:8" x14ac:dyDescent="0.3">
      <c r="A75" s="12" t="s">
        <v>98</v>
      </c>
      <c r="B75" s="11" t="s">
        <v>102</v>
      </c>
      <c r="C75" s="8">
        <f>(C69+D69)/2</f>
        <v>2655.7349999999997</v>
      </c>
      <c r="D75" s="8">
        <f t="shared" ref="D75:G75" si="20">(D69+E69)/2</f>
        <v>2465.5150000000003</v>
      </c>
      <c r="E75" s="8">
        <f t="shared" si="20"/>
        <v>2482.5749999999998</v>
      </c>
      <c r="F75" s="8">
        <f t="shared" si="20"/>
        <v>2287.46</v>
      </c>
      <c r="G75" s="8">
        <f t="shared" si="20"/>
        <v>2174.3150000000001</v>
      </c>
      <c r="H75" s="8"/>
    </row>
    <row r="76" spans="1:8" x14ac:dyDescent="0.3">
      <c r="A76" s="12" t="s">
        <v>105</v>
      </c>
      <c r="B76" s="11" t="s">
        <v>99</v>
      </c>
      <c r="C76" s="8">
        <f>(C73/C64)*365</f>
        <v>206.90538215701008</v>
      </c>
      <c r="D76" s="8">
        <f t="shared" ref="D76:F76" si="21">(D73/D64)*365</f>
        <v>200.52180241623049</v>
      </c>
      <c r="E76" s="8">
        <f t="shared" si="21"/>
        <v>232.35606099162899</v>
      </c>
      <c r="F76" s="8">
        <f t="shared" si="21"/>
        <v>215.23425655633505</v>
      </c>
      <c r="G76" s="8">
        <f>(G73/G64)*365</f>
        <v>224.57318458246789</v>
      </c>
      <c r="H76" s="8"/>
    </row>
    <row r="77" spans="1:8" x14ac:dyDescent="0.3">
      <c r="A77" s="12" t="s">
        <v>106</v>
      </c>
      <c r="B77" s="11" t="s">
        <v>100</v>
      </c>
      <c r="C77" s="8">
        <f>(C74/C63)*365</f>
        <v>68.084211086111964</v>
      </c>
      <c r="D77" s="8">
        <f>(D74/D63)*365</f>
        <v>62.506491984780062</v>
      </c>
      <c r="E77" s="8">
        <f>(E74/E63)*365</f>
        <v>60.007717622901829</v>
      </c>
      <c r="F77" s="8">
        <f>(F74/F63)*365</f>
        <v>57.610500042732411</v>
      </c>
      <c r="G77" s="8">
        <f>(G74/G63)*365</f>
        <v>69.886708170686319</v>
      </c>
      <c r="H77" s="8"/>
    </row>
    <row r="78" spans="1:8" x14ac:dyDescent="0.3">
      <c r="A78" s="12" t="s">
        <v>107</v>
      </c>
      <c r="B78" s="11" t="s">
        <v>101</v>
      </c>
      <c r="C78" s="8">
        <f>(C75/C64)*365</f>
        <v>101.00787405267012</v>
      </c>
      <c r="D78" s="8">
        <f>(D75/D64)*365</f>
        <v>95.126310888047698</v>
      </c>
      <c r="E78" s="8">
        <f t="shared" ref="E78:G78" si="22">(E75/E64)*365</f>
        <v>109.80479031249546</v>
      </c>
      <c r="F78" s="8">
        <f t="shared" si="22"/>
        <v>98.277096379302222</v>
      </c>
      <c r="G78" s="8">
        <f t="shared" si="22"/>
        <v>107.9484289073966</v>
      </c>
      <c r="H78" s="8"/>
    </row>
    <row r="79" spans="1:8" x14ac:dyDescent="0.3">
      <c r="A79" s="12" t="s">
        <v>109</v>
      </c>
      <c r="B79" s="11" t="s">
        <v>108</v>
      </c>
      <c r="C79" s="8">
        <f>C76+C77-C78</f>
        <v>173.98171919045194</v>
      </c>
      <c r="D79" s="8">
        <f t="shared" ref="D79:G79" si="23">D76+D77-D78</f>
        <v>167.90198351296286</v>
      </c>
      <c r="E79" s="8">
        <f t="shared" si="23"/>
        <v>182.55898830203535</v>
      </c>
      <c r="F79" s="8">
        <f t="shared" si="23"/>
        <v>174.56766021976523</v>
      </c>
      <c r="G79" s="8">
        <f t="shared" si="23"/>
        <v>186.51146384575765</v>
      </c>
      <c r="H79" s="8"/>
    </row>
    <row r="80" spans="1:8" x14ac:dyDescent="0.3">
      <c r="A80" s="14"/>
      <c r="B80" s="2"/>
      <c r="C80" s="2"/>
      <c r="D80" s="2"/>
      <c r="E80" s="2"/>
      <c r="F80" s="2"/>
      <c r="G80" s="2"/>
      <c r="H80" s="2"/>
    </row>
    <row r="81" spans="1:8" x14ac:dyDescent="0.3">
      <c r="A81" s="26" t="s">
        <v>54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11" t="s">
        <v>10</v>
      </c>
      <c r="B82" s="1"/>
      <c r="C82" s="1" t="s">
        <v>0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12</v>
      </c>
    </row>
    <row r="83" spans="1:8" x14ac:dyDescent="0.3">
      <c r="A83" s="12" t="s">
        <v>8</v>
      </c>
      <c r="B83" s="3"/>
      <c r="C83" s="6">
        <v>23241.5</v>
      </c>
      <c r="D83" s="6">
        <v>19547.400000000001</v>
      </c>
      <c r="E83" s="6">
        <v>17237.400000000001</v>
      </c>
      <c r="F83" s="6">
        <v>15265.2</v>
      </c>
      <c r="G83" s="6">
        <v>14403.5</v>
      </c>
      <c r="H83" s="7">
        <v>14253.1</v>
      </c>
    </row>
    <row r="84" spans="1:8" x14ac:dyDescent="0.3">
      <c r="A84" s="12" t="s">
        <v>11</v>
      </c>
      <c r="B84" s="3"/>
      <c r="C84" s="6">
        <v>6338</v>
      </c>
      <c r="D84" s="6">
        <v>6228.2</v>
      </c>
      <c r="E84" s="6">
        <v>6310.1</v>
      </c>
      <c r="F84" s="6">
        <v>5545.2</v>
      </c>
      <c r="G84" s="6">
        <v>4802.1000000000004</v>
      </c>
      <c r="H84" s="7">
        <v>4920</v>
      </c>
    </row>
    <row r="85" spans="1:8" x14ac:dyDescent="0.3">
      <c r="A85" s="12" t="s">
        <v>28</v>
      </c>
      <c r="B85" s="2"/>
      <c r="C85" s="7">
        <v>17046.099999999999</v>
      </c>
      <c r="D85" s="7">
        <v>11501.4</v>
      </c>
      <c r="E85" s="7">
        <v>10016.4</v>
      </c>
      <c r="F85" s="7">
        <v>12261.4</v>
      </c>
      <c r="G85" s="7">
        <v>8716</v>
      </c>
      <c r="H85" s="7">
        <v>8715.4</v>
      </c>
    </row>
    <row r="86" spans="1:8" x14ac:dyDescent="0.3">
      <c r="A86" s="12" t="s">
        <v>5</v>
      </c>
      <c r="B86" s="1"/>
      <c r="C86" s="6">
        <v>3944</v>
      </c>
      <c r="D86" s="6">
        <v>3441.9</v>
      </c>
      <c r="E86" s="6">
        <v>3413.3</v>
      </c>
      <c r="F86" s="6">
        <v>3719.4</v>
      </c>
      <c r="G86" s="6">
        <v>3236.2</v>
      </c>
      <c r="H86" s="6">
        <v>2789</v>
      </c>
    </row>
    <row r="87" spans="1:8" x14ac:dyDescent="0.3">
      <c r="A87" s="12" t="s">
        <v>6</v>
      </c>
      <c r="B87" s="1"/>
      <c r="C87" s="6">
        <v>4024.7</v>
      </c>
      <c r="D87" s="6">
        <v>5220.2</v>
      </c>
      <c r="E87" s="6">
        <v>4416.8</v>
      </c>
      <c r="F87" s="6">
        <v>3340.3</v>
      </c>
      <c r="G87" s="6">
        <v>3127.3</v>
      </c>
      <c r="H87" s="6">
        <v>3663.2</v>
      </c>
    </row>
    <row r="88" spans="1:8" x14ac:dyDescent="0.3">
      <c r="A88" s="12" t="s">
        <v>29</v>
      </c>
      <c r="B88" s="2"/>
      <c r="C88" s="7">
        <v>9041.6</v>
      </c>
      <c r="D88" s="7">
        <v>5341.9</v>
      </c>
      <c r="E88" s="7">
        <v>5530.7</v>
      </c>
      <c r="F88" s="7">
        <v>7839.4</v>
      </c>
      <c r="G88" s="7">
        <v>7861.3</v>
      </c>
      <c r="H88" s="7">
        <v>8269.4</v>
      </c>
    </row>
    <row r="89" spans="1:8" x14ac:dyDescent="0.3">
      <c r="A89" s="12" t="s">
        <v>7</v>
      </c>
      <c r="B89" s="1"/>
      <c r="C89" s="6">
        <v>2305.8000000000002</v>
      </c>
      <c r="D89" s="6">
        <v>2126.6999999999998</v>
      </c>
      <c r="E89" s="6">
        <v>2125</v>
      </c>
      <c r="F89" s="6">
        <v>2137.8000000000002</v>
      </c>
      <c r="G89" s="6">
        <v>2205.9</v>
      </c>
      <c r="H89" s="7">
        <v>2044.3</v>
      </c>
    </row>
    <row r="90" spans="1:8" x14ac:dyDescent="0.3">
      <c r="A90" s="12"/>
      <c r="B90" s="1"/>
      <c r="C90" s="6"/>
      <c r="D90" s="6"/>
      <c r="E90" s="6"/>
      <c r="F90" s="6"/>
      <c r="G90" s="6"/>
      <c r="H90" s="7"/>
    </row>
    <row r="91" spans="1:8" x14ac:dyDescent="0.3">
      <c r="A91" s="4" t="s">
        <v>93</v>
      </c>
      <c r="B91" s="1"/>
      <c r="C91" s="8"/>
      <c r="D91" s="8"/>
      <c r="E91" s="8"/>
      <c r="F91" s="8"/>
      <c r="G91" s="8"/>
      <c r="H91" s="8"/>
    </row>
    <row r="92" spans="1:8" x14ac:dyDescent="0.3">
      <c r="A92" s="12" t="s">
        <v>94</v>
      </c>
      <c r="B92" s="11" t="s">
        <v>95</v>
      </c>
      <c r="C92" s="8">
        <f>C85-C88</f>
        <v>8004.4999999999982</v>
      </c>
      <c r="D92" s="8">
        <f t="shared" ref="D92:G92" si="24">D85-D88</f>
        <v>6159.5</v>
      </c>
      <c r="E92" s="8">
        <f t="shared" si="24"/>
        <v>4485.7</v>
      </c>
      <c r="F92" s="8">
        <f t="shared" si="24"/>
        <v>4422</v>
      </c>
      <c r="G92" s="8">
        <f t="shared" si="24"/>
        <v>854.69999999999982</v>
      </c>
      <c r="H92" s="8">
        <f>H85-H88</f>
        <v>446</v>
      </c>
    </row>
    <row r="93" spans="1:8" x14ac:dyDescent="0.3">
      <c r="A93" s="12" t="s">
        <v>96</v>
      </c>
      <c r="B93" s="11" t="s">
        <v>103</v>
      </c>
      <c r="C93" s="8">
        <f>(C86+D86)/2</f>
        <v>3692.95</v>
      </c>
      <c r="D93" s="8">
        <f>(D86+E86)/2</f>
        <v>3427.6000000000004</v>
      </c>
      <c r="E93" s="8">
        <f>(E86+F86)/2</f>
        <v>3566.3500000000004</v>
      </c>
      <c r="F93" s="8">
        <f>(F86+G86)/2</f>
        <v>3477.8</v>
      </c>
      <c r="G93" s="8">
        <f>(G86+H86)/2</f>
        <v>3012.6</v>
      </c>
      <c r="H93" s="8"/>
    </row>
    <row r="94" spans="1:8" x14ac:dyDescent="0.3">
      <c r="A94" s="12" t="s">
        <v>97</v>
      </c>
      <c r="B94" s="11" t="s">
        <v>104</v>
      </c>
      <c r="C94" s="2">
        <f>(C87+D87)/2</f>
        <v>4622.45</v>
      </c>
      <c r="D94" s="2">
        <f t="shared" ref="D94:G94" si="25">(D87+E87)/2</f>
        <v>4818.5</v>
      </c>
      <c r="E94" s="2">
        <f t="shared" si="25"/>
        <v>3878.55</v>
      </c>
      <c r="F94" s="2">
        <f t="shared" si="25"/>
        <v>3233.8</v>
      </c>
      <c r="G94" s="2">
        <f t="shared" si="25"/>
        <v>3395.25</v>
      </c>
    </row>
    <row r="95" spans="1:8" x14ac:dyDescent="0.3">
      <c r="A95" s="12" t="s">
        <v>98</v>
      </c>
      <c r="B95" s="11" t="s">
        <v>102</v>
      </c>
      <c r="C95" s="8">
        <f>(C89+D89)/2</f>
        <v>2216.25</v>
      </c>
      <c r="D95" s="8">
        <f t="shared" ref="D95:G95" si="26">(D89+E89)/2</f>
        <v>2125.85</v>
      </c>
      <c r="E95" s="8">
        <f t="shared" si="26"/>
        <v>2131.4</v>
      </c>
      <c r="F95" s="8">
        <f t="shared" si="26"/>
        <v>2171.8500000000004</v>
      </c>
      <c r="G95" s="8">
        <f t="shared" si="26"/>
        <v>2125.1</v>
      </c>
      <c r="H95" s="8"/>
    </row>
    <row r="96" spans="1:8" x14ac:dyDescent="0.3">
      <c r="A96" s="12" t="s">
        <v>105</v>
      </c>
      <c r="B96" s="11" t="s">
        <v>99</v>
      </c>
      <c r="C96" s="8">
        <f>(C93/C84)*365</f>
        <v>212.67383243925528</v>
      </c>
      <c r="D96" s="8">
        <f t="shared" ref="D96:F96" si="27">(D93/D84)*365</f>
        <v>200.87248322147656</v>
      </c>
      <c r="E96" s="8">
        <f t="shared" si="27"/>
        <v>206.29114435587394</v>
      </c>
      <c r="F96" s="8">
        <f t="shared" si="27"/>
        <v>228.91816345668329</v>
      </c>
      <c r="G96" s="8">
        <f>(G93/G84)*365</f>
        <v>228.98294496157931</v>
      </c>
      <c r="H96" s="8"/>
    </row>
    <row r="97" spans="1:8" x14ac:dyDescent="0.3">
      <c r="A97" s="12" t="s">
        <v>106</v>
      </c>
      <c r="B97" s="11" t="s">
        <v>100</v>
      </c>
      <c r="C97" s="8">
        <f>(C94/C83)*365</f>
        <v>72.594034378159748</v>
      </c>
      <c r="D97" s="8">
        <f>(D94/D83)*365</f>
        <v>89.973730521706202</v>
      </c>
      <c r="E97" s="8">
        <f>(E94/E83)*365</f>
        <v>82.127858609767131</v>
      </c>
      <c r="F97" s="8">
        <f>(F94/F83)*365</f>
        <v>77.322078977019629</v>
      </c>
      <c r="G97" s="8">
        <f>(G94/G83)*365</f>
        <v>86.039243933766102</v>
      </c>
      <c r="H97" s="8"/>
    </row>
    <row r="98" spans="1:8" x14ac:dyDescent="0.3">
      <c r="A98" s="12" t="s">
        <v>107</v>
      </c>
      <c r="B98" s="11" t="s">
        <v>101</v>
      </c>
      <c r="C98" s="8">
        <f>(C95/C84)*365</f>
        <v>127.63194225307667</v>
      </c>
      <c r="D98" s="8">
        <f>(D95/D84)*365</f>
        <v>124.58418965351146</v>
      </c>
      <c r="E98" s="8">
        <f t="shared" ref="E98:G98" si="28">(E95/E84)*365</f>
        <v>123.28822047194181</v>
      </c>
      <c r="F98" s="8">
        <f t="shared" si="28"/>
        <v>142.95701687946334</v>
      </c>
      <c r="G98" s="8">
        <f t="shared" si="28"/>
        <v>161.52547843651735</v>
      </c>
      <c r="H98" s="8"/>
    </row>
    <row r="99" spans="1:8" x14ac:dyDescent="0.3">
      <c r="A99" s="12" t="s">
        <v>109</v>
      </c>
      <c r="B99" s="11" t="s">
        <v>108</v>
      </c>
      <c r="C99" s="8">
        <f>C96+C97-C98</f>
        <v>157.63592456433838</v>
      </c>
      <c r="D99" s="8">
        <f t="shared" ref="D99:G99" si="29">D96+D97-D98</f>
        <v>166.26202408967131</v>
      </c>
      <c r="E99" s="8">
        <f t="shared" si="29"/>
        <v>165.13078249369926</v>
      </c>
      <c r="F99" s="8">
        <f t="shared" si="29"/>
        <v>163.28322555423958</v>
      </c>
      <c r="G99" s="8">
        <f t="shared" si="29"/>
        <v>153.49671045882803</v>
      </c>
      <c r="H99" s="8"/>
    </row>
    <row r="100" spans="1:8" x14ac:dyDescent="0.3">
      <c r="A100" s="14"/>
      <c r="B100" s="2"/>
      <c r="C100" s="2"/>
      <c r="D100" s="2"/>
      <c r="E100" s="2"/>
      <c r="F100" s="2"/>
      <c r="G100" s="2"/>
      <c r="H100" s="2"/>
    </row>
    <row r="101" spans="1:8" x14ac:dyDescent="0.3">
      <c r="A101" s="26" t="s">
        <v>71</v>
      </c>
      <c r="B101" s="26"/>
      <c r="C101" s="26"/>
      <c r="D101" s="26"/>
      <c r="E101" s="26"/>
      <c r="F101" s="26"/>
      <c r="G101" s="26"/>
      <c r="H101" s="26"/>
    </row>
    <row r="102" spans="1:8" x14ac:dyDescent="0.3">
      <c r="A102" s="11" t="s">
        <v>10</v>
      </c>
      <c r="B102" s="1"/>
      <c r="C102" s="1" t="s">
        <v>0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12</v>
      </c>
    </row>
    <row r="103" spans="1:8" x14ac:dyDescent="0.3">
      <c r="A103" s="12" t="s">
        <v>8</v>
      </c>
      <c r="B103" s="3"/>
      <c r="C103" s="8">
        <v>6409.15</v>
      </c>
      <c r="D103" s="8">
        <v>5848.91</v>
      </c>
      <c r="E103" s="8">
        <v>5348.73</v>
      </c>
      <c r="F103" s="8">
        <v>4919.2700000000004</v>
      </c>
      <c r="G103" s="8">
        <v>4310.0200000000004</v>
      </c>
      <c r="H103" s="8">
        <v>4093.14</v>
      </c>
    </row>
    <row r="104" spans="1:8" x14ac:dyDescent="0.3">
      <c r="A104" s="12" t="s">
        <v>11</v>
      </c>
      <c r="B104" s="3"/>
      <c r="C104" s="8">
        <v>3496.78</v>
      </c>
      <c r="D104" s="8">
        <v>3220.61</v>
      </c>
      <c r="E104" s="8">
        <v>2975.0600000000004</v>
      </c>
      <c r="F104" s="8">
        <v>2657.21</v>
      </c>
      <c r="G104" s="8">
        <v>2390.92</v>
      </c>
      <c r="H104" s="9">
        <v>2315.65</v>
      </c>
    </row>
    <row r="105" spans="1:8" x14ac:dyDescent="0.3">
      <c r="A105" s="13" t="s">
        <v>28</v>
      </c>
      <c r="B105" s="3"/>
      <c r="C105" s="8">
        <v>4765.1099999999997</v>
      </c>
      <c r="D105" s="8">
        <v>3245.84</v>
      </c>
      <c r="E105" s="8">
        <v>3025.11</v>
      </c>
      <c r="F105" s="8">
        <v>3853.04</v>
      </c>
      <c r="G105" s="8">
        <v>3518.52</v>
      </c>
      <c r="H105" s="9">
        <v>3204.64</v>
      </c>
    </row>
    <row r="106" spans="1:8" x14ac:dyDescent="0.3">
      <c r="A106" s="12" t="s">
        <v>5</v>
      </c>
      <c r="B106" s="1"/>
      <c r="C106" s="8">
        <v>882.04</v>
      </c>
      <c r="D106" s="8">
        <v>619.58000000000004</v>
      </c>
      <c r="E106" s="8">
        <v>648.85</v>
      </c>
      <c r="F106" s="8">
        <v>687.82</v>
      </c>
      <c r="G106" s="8">
        <v>717.59</v>
      </c>
      <c r="H106" s="8">
        <v>527.16999999999996</v>
      </c>
    </row>
    <row r="107" spans="1:8" x14ac:dyDescent="0.3">
      <c r="A107" s="12" t="s">
        <v>6</v>
      </c>
      <c r="B107" s="1"/>
      <c r="C107" s="8">
        <v>380.23</v>
      </c>
      <c r="D107" s="8">
        <v>319.11</v>
      </c>
      <c r="E107" s="8">
        <v>316.95</v>
      </c>
      <c r="F107" s="8">
        <v>288.16000000000003</v>
      </c>
      <c r="G107" s="8">
        <v>250.21</v>
      </c>
      <c r="H107" s="8">
        <v>317.91000000000003</v>
      </c>
    </row>
    <row r="108" spans="1:8" x14ac:dyDescent="0.3">
      <c r="A108" s="13" t="s">
        <v>29</v>
      </c>
      <c r="B108" s="2"/>
      <c r="C108" s="9">
        <v>1407.19</v>
      </c>
      <c r="D108" s="9">
        <v>1342.72</v>
      </c>
      <c r="E108" s="9">
        <v>1206.02</v>
      </c>
      <c r="F108" s="9">
        <v>1203.19</v>
      </c>
      <c r="G108" s="9">
        <v>1030.8599999999999</v>
      </c>
      <c r="H108" s="9">
        <v>891.1</v>
      </c>
    </row>
    <row r="109" spans="1:8" x14ac:dyDescent="0.3">
      <c r="A109" s="12" t="s">
        <v>7</v>
      </c>
      <c r="B109" s="1"/>
      <c r="C109" s="8">
        <v>1057.8599999999999</v>
      </c>
      <c r="D109" s="8">
        <v>1002.69</v>
      </c>
      <c r="E109" s="8">
        <v>891.99</v>
      </c>
      <c r="F109" s="8">
        <v>889.45</v>
      </c>
      <c r="G109" s="8">
        <v>762.6</v>
      </c>
      <c r="H109" s="8">
        <v>657.77</v>
      </c>
    </row>
    <row r="110" spans="1:8" x14ac:dyDescent="0.3">
      <c r="A110" s="12"/>
      <c r="B110" s="1"/>
      <c r="C110" s="8"/>
      <c r="D110" s="8"/>
      <c r="E110" s="8"/>
      <c r="F110" s="8"/>
      <c r="G110" s="8"/>
      <c r="H110" s="8"/>
    </row>
    <row r="111" spans="1:8" x14ac:dyDescent="0.3">
      <c r="A111" s="4" t="s">
        <v>93</v>
      </c>
      <c r="B111" s="1"/>
      <c r="C111" s="8"/>
      <c r="D111" s="8"/>
      <c r="E111" s="8"/>
      <c r="F111" s="8"/>
      <c r="G111" s="8"/>
      <c r="H111" s="8"/>
    </row>
    <row r="112" spans="1:8" x14ac:dyDescent="0.3">
      <c r="A112" s="12" t="s">
        <v>94</v>
      </c>
      <c r="B112" s="11" t="s">
        <v>95</v>
      </c>
      <c r="C112" s="8">
        <f>C105-C108</f>
        <v>3357.9199999999996</v>
      </c>
      <c r="D112" s="8">
        <f t="shared" ref="D112:G112" si="30">D105-D108</f>
        <v>1903.1200000000001</v>
      </c>
      <c r="E112" s="8">
        <f t="shared" si="30"/>
        <v>1819.0900000000001</v>
      </c>
      <c r="F112" s="8">
        <f t="shared" si="30"/>
        <v>2649.85</v>
      </c>
      <c r="G112" s="8">
        <f t="shared" si="30"/>
        <v>2487.66</v>
      </c>
      <c r="H112" s="8">
        <f>H105-H108</f>
        <v>2313.54</v>
      </c>
    </row>
    <row r="113" spans="1:8" x14ac:dyDescent="0.3">
      <c r="A113" s="12" t="s">
        <v>96</v>
      </c>
      <c r="B113" s="11" t="s">
        <v>103</v>
      </c>
      <c r="C113" s="8">
        <f>(C106+D106)/2</f>
        <v>750.81</v>
      </c>
      <c r="D113" s="8">
        <f>(D106+E106)/2</f>
        <v>634.21500000000003</v>
      </c>
      <c r="E113" s="8">
        <f>(E106+F106)/2</f>
        <v>668.33500000000004</v>
      </c>
      <c r="F113" s="8">
        <f>(F106+G106)/2</f>
        <v>702.70500000000004</v>
      </c>
      <c r="G113" s="8">
        <f>(G106+H106)/2</f>
        <v>622.38</v>
      </c>
      <c r="H113" s="8"/>
    </row>
    <row r="114" spans="1:8" x14ac:dyDescent="0.3">
      <c r="A114" s="12" t="s">
        <v>97</v>
      </c>
      <c r="B114" s="11" t="s">
        <v>104</v>
      </c>
      <c r="C114" s="2">
        <f>(C107+D107)/2</f>
        <v>349.67</v>
      </c>
      <c r="D114" s="2">
        <f t="shared" ref="D114:G114" si="31">(D107+E107)/2</f>
        <v>318.02999999999997</v>
      </c>
      <c r="E114" s="2">
        <f t="shared" si="31"/>
        <v>302.55500000000001</v>
      </c>
      <c r="F114" s="2">
        <f t="shared" si="31"/>
        <v>269.185</v>
      </c>
      <c r="G114" s="2">
        <f t="shared" si="31"/>
        <v>284.06</v>
      </c>
    </row>
    <row r="115" spans="1:8" x14ac:dyDescent="0.3">
      <c r="A115" s="12" t="s">
        <v>98</v>
      </c>
      <c r="B115" s="11" t="s">
        <v>102</v>
      </c>
      <c r="C115" s="8">
        <f>(C109+D109)/2</f>
        <v>1030.2750000000001</v>
      </c>
      <c r="D115" s="8">
        <f t="shared" ref="D115:G115" si="32">(D109+E109)/2</f>
        <v>947.34</v>
      </c>
      <c r="E115" s="8">
        <f t="shared" si="32"/>
        <v>890.72</v>
      </c>
      <c r="F115" s="8">
        <f t="shared" si="32"/>
        <v>826.02500000000009</v>
      </c>
      <c r="G115" s="8">
        <f t="shared" si="32"/>
        <v>710.18499999999995</v>
      </c>
      <c r="H115" s="8"/>
    </row>
    <row r="116" spans="1:8" x14ac:dyDescent="0.3">
      <c r="A116" s="12" t="s">
        <v>105</v>
      </c>
      <c r="B116" s="11" t="s">
        <v>99</v>
      </c>
      <c r="C116" s="8">
        <f>(C113/C104)*365</f>
        <v>78.370858332523056</v>
      </c>
      <c r="D116" s="8">
        <f t="shared" ref="D116:F116" si="33">(D113/D104)*365</f>
        <v>71.877214254442478</v>
      </c>
      <c r="E116" s="8">
        <f t="shared" si="33"/>
        <v>81.99574966555295</v>
      </c>
      <c r="F116" s="8">
        <f t="shared" si="33"/>
        <v>96.525048829411304</v>
      </c>
      <c r="G116" s="8">
        <f>(G113/G104)*365</f>
        <v>95.013091195021161</v>
      </c>
      <c r="H116" s="8"/>
    </row>
    <row r="117" spans="1:8" x14ac:dyDescent="0.3">
      <c r="A117" s="12" t="s">
        <v>106</v>
      </c>
      <c r="B117" s="11" t="s">
        <v>100</v>
      </c>
      <c r="C117" s="8">
        <f>(C114/C103)*365</f>
        <v>19.913646895454157</v>
      </c>
      <c r="D117" s="8">
        <f>(D114/D103)*365</f>
        <v>19.846595348535025</v>
      </c>
      <c r="E117" s="8">
        <f>(E114/E103)*365</f>
        <v>20.646503936448468</v>
      </c>
      <c r="F117" s="8">
        <f>(F114/F103)*365</f>
        <v>19.972988878431149</v>
      </c>
      <c r="G117" s="8">
        <f>(G114/G103)*365</f>
        <v>24.056013661189507</v>
      </c>
      <c r="H117" s="8"/>
    </row>
    <row r="118" spans="1:8" x14ac:dyDescent="0.3">
      <c r="A118" s="12" t="s">
        <v>107</v>
      </c>
      <c r="B118" s="11" t="s">
        <v>101</v>
      </c>
      <c r="C118" s="8">
        <f>(C115/C104)*365</f>
        <v>107.5419028363237</v>
      </c>
      <c r="D118" s="8">
        <f>(D115/D104)*365</f>
        <v>107.36447443186229</v>
      </c>
      <c r="E118" s="8">
        <f t="shared" ref="E118:G118" si="34">(E115/E104)*365</f>
        <v>109.279409490901</v>
      </c>
      <c r="F118" s="8">
        <f t="shared" si="34"/>
        <v>113.46454551954871</v>
      </c>
      <c r="G118" s="8">
        <f t="shared" si="34"/>
        <v>108.41748155521722</v>
      </c>
      <c r="H118" s="8"/>
    </row>
    <row r="119" spans="1:8" x14ac:dyDescent="0.3">
      <c r="A119" s="12" t="s">
        <v>109</v>
      </c>
      <c r="B119" s="11" t="s">
        <v>108</v>
      </c>
      <c r="C119" s="8">
        <f>C116+C117-C118</f>
        <v>-9.2573976083464942</v>
      </c>
      <c r="D119" s="8">
        <f t="shared" ref="D119:G119" si="35">D116+D117-D118</f>
        <v>-15.640664828884795</v>
      </c>
      <c r="E119" s="8">
        <f t="shared" si="35"/>
        <v>-6.637155888899585</v>
      </c>
      <c r="F119" s="8">
        <f t="shared" si="35"/>
        <v>3.0334921882937493</v>
      </c>
      <c r="G119" s="8">
        <f t="shared" si="35"/>
        <v>10.65162330099345</v>
      </c>
      <c r="H119" s="8"/>
    </row>
    <row r="120" spans="1:8" x14ac:dyDescent="0.3">
      <c r="A120" s="12"/>
      <c r="B120" s="1"/>
      <c r="C120" s="8"/>
      <c r="D120" s="8"/>
      <c r="E120" s="8"/>
      <c r="F120" s="8"/>
      <c r="G120" s="8"/>
      <c r="H120" s="8"/>
    </row>
    <row r="121" spans="1:8" x14ac:dyDescent="0.3">
      <c r="A121" s="26" t="s">
        <v>72</v>
      </c>
      <c r="B121" s="26"/>
      <c r="C121" s="26"/>
      <c r="D121" s="26"/>
      <c r="E121" s="26"/>
      <c r="F121" s="26"/>
      <c r="G121" s="26"/>
      <c r="H121" s="26"/>
    </row>
    <row r="122" spans="1:8" x14ac:dyDescent="0.3">
      <c r="A122" s="11" t="s">
        <v>10</v>
      </c>
      <c r="B122" s="1"/>
      <c r="C122" s="1" t="s">
        <v>0</v>
      </c>
      <c r="D122" s="1" t="s">
        <v>1</v>
      </c>
      <c r="E122" s="1" t="s">
        <v>2</v>
      </c>
      <c r="F122" s="1" t="s">
        <v>3</v>
      </c>
      <c r="G122" s="1" t="s">
        <v>4</v>
      </c>
      <c r="H122" s="1" t="s">
        <v>12</v>
      </c>
    </row>
    <row r="123" spans="1:8" x14ac:dyDescent="0.3">
      <c r="A123" s="12" t="s">
        <v>8</v>
      </c>
      <c r="B123" s="3"/>
      <c r="C123" s="5">
        <v>4116.1499999999996</v>
      </c>
      <c r="D123" s="5">
        <v>4167.43</v>
      </c>
      <c r="E123" s="5">
        <v>3616.53</v>
      </c>
      <c r="F123" s="5">
        <v>4400.71</v>
      </c>
      <c r="G123" s="5">
        <v>3462.88</v>
      </c>
      <c r="H123" s="5">
        <v>2633.24</v>
      </c>
    </row>
    <row r="124" spans="1:8" x14ac:dyDescent="0.3">
      <c r="A124" s="12" t="s">
        <v>11</v>
      </c>
      <c r="B124" s="3"/>
      <c r="C124" s="6">
        <v>1850.98</v>
      </c>
      <c r="D124" s="6">
        <v>1937.5100000000002</v>
      </c>
      <c r="E124" s="6">
        <v>1810.2599999999998</v>
      </c>
      <c r="F124" s="6">
        <v>2204.27</v>
      </c>
      <c r="G124" s="6">
        <v>1566.46</v>
      </c>
      <c r="H124" s="6">
        <v>1180.52</v>
      </c>
    </row>
    <row r="125" spans="1:8" x14ac:dyDescent="0.3">
      <c r="A125" s="12" t="s">
        <v>28</v>
      </c>
      <c r="B125" s="4"/>
      <c r="C125" s="6">
        <v>6782.94</v>
      </c>
      <c r="D125" s="6">
        <v>5645.15</v>
      </c>
      <c r="E125" s="6">
        <v>6900.81</v>
      </c>
      <c r="F125" s="6">
        <v>5852.08</v>
      </c>
      <c r="G125" s="6">
        <v>5123.6400000000003</v>
      </c>
      <c r="H125" s="6">
        <v>2846.29</v>
      </c>
    </row>
    <row r="126" spans="1:8" x14ac:dyDescent="0.3">
      <c r="A126" s="12" t="s">
        <v>5</v>
      </c>
      <c r="B126" s="1"/>
      <c r="C126" s="6">
        <v>1685.22</v>
      </c>
      <c r="D126" s="6">
        <v>1655.24</v>
      </c>
      <c r="E126" s="6">
        <v>1945.3</v>
      </c>
      <c r="F126" s="6">
        <v>1185.67</v>
      </c>
      <c r="G126" s="6">
        <v>1275.17</v>
      </c>
      <c r="H126" s="6">
        <v>756.28</v>
      </c>
    </row>
    <row r="127" spans="1:8" x14ac:dyDescent="0.3">
      <c r="A127" s="12" t="s">
        <v>6</v>
      </c>
      <c r="B127" s="1"/>
      <c r="C127" s="6">
        <v>1516.53</v>
      </c>
      <c r="D127" s="6">
        <v>1558.69</v>
      </c>
      <c r="E127" s="6">
        <v>871.39</v>
      </c>
      <c r="F127" s="6">
        <v>1198.78</v>
      </c>
      <c r="G127" s="6">
        <v>670.97</v>
      </c>
      <c r="H127" s="6">
        <v>601.79</v>
      </c>
    </row>
    <row r="128" spans="1:8" x14ac:dyDescent="0.3">
      <c r="A128" s="12" t="s">
        <v>29</v>
      </c>
      <c r="B128" s="4"/>
      <c r="C128" s="10">
        <v>1564.85</v>
      </c>
      <c r="D128" s="10">
        <v>1398.36</v>
      </c>
      <c r="E128" s="10">
        <v>729.13</v>
      </c>
      <c r="F128" s="10">
        <v>582.03</v>
      </c>
      <c r="G128" s="10">
        <v>512.53</v>
      </c>
      <c r="H128" s="3">
        <v>359.02</v>
      </c>
    </row>
    <row r="129" spans="1:8" x14ac:dyDescent="0.3">
      <c r="A129" s="12" t="s">
        <v>7</v>
      </c>
      <c r="B129" s="1"/>
      <c r="C129" s="6">
        <v>820.41</v>
      </c>
      <c r="D129" s="6">
        <v>862.69</v>
      </c>
      <c r="E129" s="6">
        <v>587.35</v>
      </c>
      <c r="F129" s="6">
        <v>462.85</v>
      </c>
      <c r="G129" s="6">
        <v>400.73</v>
      </c>
      <c r="H129" s="6">
        <v>249.09</v>
      </c>
    </row>
    <row r="130" spans="1:8" x14ac:dyDescent="0.3">
      <c r="A130" s="12"/>
      <c r="B130" s="1"/>
      <c r="C130" s="6"/>
      <c r="D130" s="6"/>
      <c r="E130" s="6"/>
      <c r="F130" s="6"/>
      <c r="G130" s="6"/>
      <c r="H130" s="6"/>
    </row>
    <row r="131" spans="1:8" x14ac:dyDescent="0.3">
      <c r="A131" s="4" t="s">
        <v>93</v>
      </c>
      <c r="B131" s="1"/>
      <c r="C131" s="8"/>
      <c r="D131" s="8"/>
      <c r="E131" s="8"/>
      <c r="F131" s="8"/>
      <c r="G131" s="8"/>
      <c r="H131" s="8"/>
    </row>
    <row r="132" spans="1:8" x14ac:dyDescent="0.3">
      <c r="A132" s="12" t="s">
        <v>94</v>
      </c>
      <c r="B132" s="11" t="s">
        <v>95</v>
      </c>
      <c r="C132" s="8">
        <f>C125-C128</f>
        <v>5218.09</v>
      </c>
      <c r="D132" s="8">
        <f t="shared" ref="D132:G132" si="36">D125-D128</f>
        <v>4246.79</v>
      </c>
      <c r="E132" s="8">
        <f t="shared" si="36"/>
        <v>6171.68</v>
      </c>
      <c r="F132" s="8">
        <f t="shared" si="36"/>
        <v>5270.05</v>
      </c>
      <c r="G132" s="8">
        <f t="shared" si="36"/>
        <v>4611.1100000000006</v>
      </c>
      <c r="H132" s="8">
        <f>H125-H128</f>
        <v>2487.27</v>
      </c>
    </row>
    <row r="133" spans="1:8" x14ac:dyDescent="0.3">
      <c r="A133" s="12" t="s">
        <v>96</v>
      </c>
      <c r="B133" s="11" t="s">
        <v>103</v>
      </c>
      <c r="C133" s="8">
        <f>(C126+D126)/2</f>
        <v>1670.23</v>
      </c>
      <c r="D133" s="8">
        <f>(D126+E126)/2</f>
        <v>1800.27</v>
      </c>
      <c r="E133" s="8">
        <f>(E126+F126)/2</f>
        <v>1565.4850000000001</v>
      </c>
      <c r="F133" s="8">
        <f>(F126+G126)/2</f>
        <v>1230.42</v>
      </c>
      <c r="G133" s="8">
        <f>(G126+H126)/2</f>
        <v>1015.725</v>
      </c>
      <c r="H133" s="8"/>
    </row>
    <row r="134" spans="1:8" x14ac:dyDescent="0.3">
      <c r="A134" s="12" t="s">
        <v>97</v>
      </c>
      <c r="B134" s="11" t="s">
        <v>104</v>
      </c>
      <c r="C134" s="2">
        <f>(C127+D127)/2</f>
        <v>1537.6100000000001</v>
      </c>
      <c r="D134" s="2">
        <f t="shared" ref="D134:G134" si="37">(D127+E127)/2</f>
        <v>1215.04</v>
      </c>
      <c r="E134" s="2">
        <f t="shared" si="37"/>
        <v>1035.085</v>
      </c>
      <c r="F134" s="2">
        <f t="shared" si="37"/>
        <v>934.875</v>
      </c>
      <c r="G134" s="2">
        <f t="shared" si="37"/>
        <v>636.38</v>
      </c>
    </row>
    <row r="135" spans="1:8" x14ac:dyDescent="0.3">
      <c r="A135" s="12" t="s">
        <v>98</v>
      </c>
      <c r="B135" s="11" t="s">
        <v>102</v>
      </c>
      <c r="C135" s="8">
        <f>(C129+D129)/2</f>
        <v>841.55</v>
      </c>
      <c r="D135" s="8">
        <f t="shared" ref="D135:G135" si="38">(D129+E129)/2</f>
        <v>725.02</v>
      </c>
      <c r="E135" s="8">
        <f t="shared" si="38"/>
        <v>525.1</v>
      </c>
      <c r="F135" s="8">
        <f t="shared" si="38"/>
        <v>431.79</v>
      </c>
      <c r="G135" s="8">
        <f t="shared" si="38"/>
        <v>324.91000000000003</v>
      </c>
      <c r="H135" s="8"/>
    </row>
    <row r="136" spans="1:8" x14ac:dyDescent="0.3">
      <c r="A136" s="12" t="s">
        <v>105</v>
      </c>
      <c r="B136" s="11" t="s">
        <v>99</v>
      </c>
      <c r="C136" s="8">
        <f>(C133/C124)*365</f>
        <v>329.35739446131237</v>
      </c>
      <c r="D136" s="8">
        <f t="shared" ref="D136:F136" si="39">(D133/D124)*365</f>
        <v>339.14588827928628</v>
      </c>
      <c r="E136" s="8">
        <f t="shared" si="39"/>
        <v>315.64638504966143</v>
      </c>
      <c r="F136" s="8">
        <f t="shared" si="39"/>
        <v>203.74241812482137</v>
      </c>
      <c r="G136" s="8">
        <f>(G133/G124)*365</f>
        <v>236.67353459392515</v>
      </c>
      <c r="H136" s="8"/>
    </row>
    <row r="137" spans="1:8" x14ac:dyDescent="0.3">
      <c r="A137" s="12" t="s">
        <v>106</v>
      </c>
      <c r="B137" s="11" t="s">
        <v>100</v>
      </c>
      <c r="C137" s="8">
        <f>(C134/C123)*365</f>
        <v>136.34771570520999</v>
      </c>
      <c r="D137" s="8">
        <f>(D134/D123)*365</f>
        <v>106.41800822089392</v>
      </c>
      <c r="E137" s="8">
        <f>(E134/E123)*365</f>
        <v>104.46644297157772</v>
      </c>
      <c r="F137" s="8">
        <f>(F134/F123)*365</f>
        <v>77.539618606997507</v>
      </c>
      <c r="G137" s="8">
        <f>(G134/G123)*365</f>
        <v>67.076739592477935</v>
      </c>
      <c r="H137" s="8"/>
    </row>
    <row r="138" spans="1:8" x14ac:dyDescent="0.3">
      <c r="A138" s="12" t="s">
        <v>107</v>
      </c>
      <c r="B138" s="11" t="s">
        <v>101</v>
      </c>
      <c r="C138" s="8">
        <f>(C135/C124)*365</f>
        <v>165.94763314568499</v>
      </c>
      <c r="D138" s="8">
        <f>(D135/D124)*365</f>
        <v>136.5837079550557</v>
      </c>
      <c r="E138" s="8">
        <f t="shared" ref="E138:G138" si="40">(E135/E124)*365</f>
        <v>105.87512291052116</v>
      </c>
      <c r="F138" s="8">
        <f t="shared" si="40"/>
        <v>71.499113085057644</v>
      </c>
      <c r="G138" s="8">
        <f t="shared" si="40"/>
        <v>75.707103915835717</v>
      </c>
      <c r="H138" s="8"/>
    </row>
    <row r="139" spans="1:8" x14ac:dyDescent="0.3">
      <c r="A139" s="12" t="s">
        <v>109</v>
      </c>
      <c r="B139" s="11" t="s">
        <v>108</v>
      </c>
      <c r="C139" s="8">
        <f>C136+C137-C138</f>
        <v>299.75747702083731</v>
      </c>
      <c r="D139" s="8">
        <f t="shared" ref="D139:G139" si="41">D136+D137-D138</f>
        <v>308.98018854512452</v>
      </c>
      <c r="E139" s="8">
        <f t="shared" si="41"/>
        <v>314.23770511071797</v>
      </c>
      <c r="F139" s="8">
        <f t="shared" si="41"/>
        <v>209.78292364676125</v>
      </c>
      <c r="G139" s="8">
        <f t="shared" si="41"/>
        <v>228.04317027056737</v>
      </c>
      <c r="H139" s="8"/>
    </row>
    <row r="140" spans="1:8" x14ac:dyDescent="0.3">
      <c r="A140" s="12"/>
      <c r="B140" s="1"/>
      <c r="C140" s="6"/>
      <c r="D140" s="6"/>
      <c r="E140" s="6"/>
      <c r="F140" s="6"/>
      <c r="G140" s="6"/>
      <c r="H140" s="6"/>
    </row>
    <row r="141" spans="1:8" x14ac:dyDescent="0.3">
      <c r="A141" s="26" t="s">
        <v>73</v>
      </c>
      <c r="B141" s="26"/>
      <c r="C141" s="26"/>
      <c r="D141" s="26"/>
      <c r="E141" s="26"/>
      <c r="F141" s="26"/>
      <c r="G141" s="26"/>
      <c r="H141" s="26"/>
    </row>
    <row r="142" spans="1:8" x14ac:dyDescent="0.3">
      <c r="A142" s="11" t="s">
        <v>10</v>
      </c>
      <c r="B142" s="1"/>
      <c r="C142" s="1" t="s">
        <v>0</v>
      </c>
      <c r="D142" s="1" t="s">
        <v>1</v>
      </c>
      <c r="E142" s="1" t="s">
        <v>2</v>
      </c>
      <c r="F142" s="1" t="s">
        <v>3</v>
      </c>
      <c r="G142" s="1" t="s">
        <v>4</v>
      </c>
      <c r="H142" s="1" t="s">
        <v>12</v>
      </c>
    </row>
    <row r="143" spans="1:8" x14ac:dyDescent="0.3">
      <c r="A143" s="12" t="s">
        <v>8</v>
      </c>
      <c r="B143" s="3"/>
      <c r="C143" s="6">
        <v>5553.96</v>
      </c>
      <c r="D143" s="6">
        <v>5040.83</v>
      </c>
      <c r="E143" s="6">
        <v>6040.55</v>
      </c>
      <c r="F143" s="6">
        <v>4935.57</v>
      </c>
      <c r="G143" s="6">
        <v>4813.51</v>
      </c>
      <c r="H143" s="7">
        <v>2831.72</v>
      </c>
    </row>
    <row r="144" spans="1:8" x14ac:dyDescent="0.3">
      <c r="A144" s="12" t="s">
        <v>11</v>
      </c>
      <c r="B144" s="3"/>
      <c r="C144" s="7">
        <v>2477.9800000000005</v>
      </c>
      <c r="D144" s="7">
        <v>2432.42</v>
      </c>
      <c r="E144" s="7">
        <v>2774.32</v>
      </c>
      <c r="F144" s="7">
        <v>2193.77</v>
      </c>
      <c r="G144" s="7">
        <v>2158.1899999999996</v>
      </c>
      <c r="H144" s="7">
        <f>1613.69+15.88-216.15</f>
        <v>1413.42</v>
      </c>
    </row>
    <row r="145" spans="1:8" x14ac:dyDescent="0.3">
      <c r="A145" s="12" t="s">
        <v>28</v>
      </c>
      <c r="B145" s="3"/>
      <c r="C145" s="15">
        <v>4332.32</v>
      </c>
      <c r="D145" s="15">
        <v>3834.97</v>
      </c>
      <c r="E145" s="15">
        <v>3461.68</v>
      </c>
      <c r="F145" s="15">
        <v>3344.61</v>
      </c>
      <c r="G145" s="15">
        <v>3074.86</v>
      </c>
      <c r="H145" s="7">
        <v>1812.06</v>
      </c>
    </row>
    <row r="146" spans="1:8" x14ac:dyDescent="0.3">
      <c r="A146" s="12" t="s">
        <v>5</v>
      </c>
      <c r="B146" s="1"/>
      <c r="C146" s="6">
        <v>1936.54</v>
      </c>
      <c r="D146" s="6">
        <v>1845.41</v>
      </c>
      <c r="E146" s="6">
        <v>1684.81</v>
      </c>
      <c r="F146" s="6">
        <v>1760.3</v>
      </c>
      <c r="G146" s="6">
        <v>1575.45</v>
      </c>
      <c r="H146" s="7">
        <v>905.22</v>
      </c>
    </row>
    <row r="147" spans="1:8" x14ac:dyDescent="0.3">
      <c r="A147" s="12" t="s">
        <v>6</v>
      </c>
      <c r="B147" s="1"/>
      <c r="C147" s="6">
        <v>2007.16</v>
      </c>
      <c r="D147" s="6">
        <v>1662.92</v>
      </c>
      <c r="E147" s="6">
        <v>1580.44</v>
      </c>
      <c r="F147" s="6">
        <v>1354.18</v>
      </c>
      <c r="G147" s="6">
        <v>1306.06</v>
      </c>
      <c r="H147" s="6">
        <v>791.42</v>
      </c>
    </row>
    <row r="148" spans="1:8" x14ac:dyDescent="0.3">
      <c r="A148" s="12" t="s">
        <v>29</v>
      </c>
      <c r="B148" s="3"/>
      <c r="C148" s="7">
        <v>3539.78</v>
      </c>
      <c r="D148" s="7">
        <v>3112.28</v>
      </c>
      <c r="E148" s="7">
        <v>2432.2600000000002</v>
      </c>
      <c r="F148" s="7">
        <v>2681.01</v>
      </c>
      <c r="G148" s="7">
        <v>2457.15</v>
      </c>
      <c r="H148" s="7">
        <v>1692.37</v>
      </c>
    </row>
    <row r="149" spans="1:8" x14ac:dyDescent="0.3">
      <c r="A149" s="12" t="s">
        <v>7</v>
      </c>
      <c r="B149" s="1"/>
      <c r="C149" s="6">
        <v>958.49</v>
      </c>
      <c r="D149" s="6">
        <v>1051.24</v>
      </c>
      <c r="E149" s="6">
        <v>710.65</v>
      </c>
      <c r="F149" s="6">
        <v>876.37</v>
      </c>
      <c r="G149" s="6">
        <v>1178.69</v>
      </c>
      <c r="H149" s="7">
        <v>615.61</v>
      </c>
    </row>
    <row r="150" spans="1:8" x14ac:dyDescent="0.3">
      <c r="A150" s="12"/>
      <c r="B150" s="1"/>
      <c r="C150" s="6"/>
      <c r="D150" s="6"/>
      <c r="E150" s="6"/>
      <c r="F150" s="6"/>
      <c r="G150" s="6"/>
      <c r="H150" s="7"/>
    </row>
    <row r="151" spans="1:8" x14ac:dyDescent="0.3">
      <c r="A151" s="4" t="s">
        <v>93</v>
      </c>
      <c r="B151" s="1"/>
      <c r="C151" s="8"/>
      <c r="D151" s="8"/>
      <c r="E151" s="8"/>
      <c r="F151" s="8"/>
      <c r="G151" s="8"/>
      <c r="H151" s="8"/>
    </row>
    <row r="152" spans="1:8" x14ac:dyDescent="0.3">
      <c r="A152" s="12" t="s">
        <v>94</v>
      </c>
      <c r="B152" s="11" t="s">
        <v>95</v>
      </c>
      <c r="C152" s="8">
        <f>C145-C148</f>
        <v>792.53999999999951</v>
      </c>
      <c r="D152" s="8">
        <f t="shared" ref="D152:G152" si="42">D145-D148</f>
        <v>722.6899999999996</v>
      </c>
      <c r="E152" s="8">
        <f t="shared" si="42"/>
        <v>1029.4199999999996</v>
      </c>
      <c r="F152" s="8">
        <f t="shared" si="42"/>
        <v>663.59999999999991</v>
      </c>
      <c r="G152" s="8">
        <f t="shared" si="42"/>
        <v>617.71</v>
      </c>
      <c r="H152" s="8">
        <f>H145-H148</f>
        <v>119.69000000000005</v>
      </c>
    </row>
    <row r="153" spans="1:8" x14ac:dyDescent="0.3">
      <c r="A153" s="12" t="s">
        <v>96</v>
      </c>
      <c r="B153" s="11" t="s">
        <v>103</v>
      </c>
      <c r="C153" s="8">
        <f>(C146+D146)/2</f>
        <v>1890.9749999999999</v>
      </c>
      <c r="D153" s="8">
        <f>(D146+E146)/2</f>
        <v>1765.1100000000001</v>
      </c>
      <c r="E153" s="8">
        <f>(E146+F146)/2</f>
        <v>1722.5549999999998</v>
      </c>
      <c r="F153" s="8">
        <f>(F146+G146)/2</f>
        <v>1667.875</v>
      </c>
      <c r="G153" s="8">
        <f>(G146+H146)/2</f>
        <v>1240.335</v>
      </c>
      <c r="H153" s="8"/>
    </row>
    <row r="154" spans="1:8" x14ac:dyDescent="0.3">
      <c r="A154" s="12" t="s">
        <v>97</v>
      </c>
      <c r="B154" s="11" t="s">
        <v>104</v>
      </c>
      <c r="C154" s="2">
        <f>(C147+D147)/2</f>
        <v>1835.04</v>
      </c>
      <c r="D154" s="2">
        <f t="shared" ref="D154:G154" si="43">(D147+E147)/2</f>
        <v>1621.68</v>
      </c>
      <c r="E154" s="2">
        <f t="shared" si="43"/>
        <v>1467.31</v>
      </c>
      <c r="F154" s="2">
        <f t="shared" si="43"/>
        <v>1330.12</v>
      </c>
      <c r="G154" s="2">
        <f t="shared" si="43"/>
        <v>1048.74</v>
      </c>
    </row>
    <row r="155" spans="1:8" x14ac:dyDescent="0.3">
      <c r="A155" s="12" t="s">
        <v>98</v>
      </c>
      <c r="B155" s="11" t="s">
        <v>102</v>
      </c>
      <c r="C155" s="8">
        <f>(C149+D149)/2</f>
        <v>1004.865</v>
      </c>
      <c r="D155" s="8">
        <f t="shared" ref="D155:G155" si="44">(D149+E149)/2</f>
        <v>880.94499999999994</v>
      </c>
      <c r="E155" s="8">
        <f t="shared" si="44"/>
        <v>793.51</v>
      </c>
      <c r="F155" s="8">
        <f t="shared" si="44"/>
        <v>1027.53</v>
      </c>
      <c r="G155" s="8">
        <f t="shared" si="44"/>
        <v>897.15000000000009</v>
      </c>
      <c r="H155" s="8"/>
    </row>
    <row r="156" spans="1:8" x14ac:dyDescent="0.3">
      <c r="A156" s="12" t="s">
        <v>105</v>
      </c>
      <c r="B156" s="11" t="s">
        <v>99</v>
      </c>
      <c r="C156" s="8">
        <f>(C153/C144)*365</f>
        <v>278.53569237846949</v>
      </c>
      <c r="D156" s="8">
        <f t="shared" ref="D156:F156" si="45">(D153/D144)*365</f>
        <v>264.86591542578998</v>
      </c>
      <c r="E156" s="8">
        <f t="shared" si="45"/>
        <v>226.62583083422243</v>
      </c>
      <c r="F156" s="8">
        <f t="shared" si="45"/>
        <v>277.50145867616021</v>
      </c>
      <c r="G156" s="8">
        <f>(G153/G144)*365</f>
        <v>209.76942484211312</v>
      </c>
      <c r="H156" s="8"/>
    </row>
    <row r="157" spans="1:8" x14ac:dyDescent="0.3">
      <c r="A157" s="12" t="s">
        <v>106</v>
      </c>
      <c r="B157" s="11" t="s">
        <v>100</v>
      </c>
      <c r="C157" s="8">
        <f>(C154/C143)*365</f>
        <v>120.59676339044573</v>
      </c>
      <c r="D157" s="8">
        <f>(D154/D143)*365</f>
        <v>117.42375759547537</v>
      </c>
      <c r="E157" s="8">
        <f>(E154/E143)*365</f>
        <v>88.662149969787507</v>
      </c>
      <c r="F157" s="8">
        <f>(F154/F143)*365</f>
        <v>98.366308248084806</v>
      </c>
      <c r="G157" s="8">
        <f>(G154/G143)*365</f>
        <v>79.524110264650957</v>
      </c>
      <c r="H157" s="8"/>
    </row>
    <row r="158" spans="1:8" x14ac:dyDescent="0.3">
      <c r="A158" s="12" t="s">
        <v>107</v>
      </c>
      <c r="B158" s="11" t="s">
        <v>101</v>
      </c>
      <c r="C158" s="8">
        <f>(C155/C144)*365</f>
        <v>148.0139972881137</v>
      </c>
      <c r="D158" s="8">
        <f>(D155/D144)*365</f>
        <v>132.19136703365371</v>
      </c>
      <c r="E158" s="8">
        <f t="shared" ref="E158:G158" si="46">(E155/E144)*365</f>
        <v>104.39716759422127</v>
      </c>
      <c r="F158" s="8">
        <f t="shared" si="46"/>
        <v>170.96069779420816</v>
      </c>
      <c r="G158" s="8">
        <f t="shared" si="46"/>
        <v>151.72887929237004</v>
      </c>
      <c r="H158" s="8"/>
    </row>
    <row r="159" spans="1:8" x14ac:dyDescent="0.3">
      <c r="A159" s="12" t="s">
        <v>109</v>
      </c>
      <c r="B159" s="11" t="s">
        <v>108</v>
      </c>
      <c r="C159" s="8">
        <f>C156+C157-C158</f>
        <v>251.11845848080154</v>
      </c>
      <c r="D159" s="8">
        <f t="shared" ref="D159:G159" si="47">D156+D157-D158</f>
        <v>250.09830598761164</v>
      </c>
      <c r="E159" s="8">
        <f t="shared" si="47"/>
        <v>210.89081320978863</v>
      </c>
      <c r="F159" s="8">
        <f t="shared" si="47"/>
        <v>204.90706913003686</v>
      </c>
      <c r="G159" s="8">
        <f t="shared" si="47"/>
        <v>137.56465581439403</v>
      </c>
      <c r="H159" s="8"/>
    </row>
    <row r="160" spans="1:8" x14ac:dyDescent="0.3">
      <c r="A160" s="14"/>
      <c r="B160" s="2"/>
      <c r="C160" s="2"/>
      <c r="D160" s="2"/>
      <c r="E160" s="2"/>
      <c r="F160" s="2"/>
      <c r="G160" s="2"/>
      <c r="H160" s="2"/>
    </row>
    <row r="161" spans="1:8" x14ac:dyDescent="0.3">
      <c r="A161" s="26" t="s">
        <v>55</v>
      </c>
      <c r="B161" s="26"/>
      <c r="C161" s="26"/>
      <c r="D161" s="26"/>
      <c r="E161" s="26"/>
      <c r="F161" s="26"/>
      <c r="G161" s="26"/>
      <c r="H161" s="26"/>
    </row>
    <row r="162" spans="1:8" x14ac:dyDescent="0.3">
      <c r="A162" s="11" t="s">
        <v>10</v>
      </c>
      <c r="B162" s="1"/>
      <c r="C162" s="1" t="s">
        <v>0</v>
      </c>
      <c r="D162" s="1" t="s">
        <v>1</v>
      </c>
      <c r="E162" s="1" t="s">
        <v>2</v>
      </c>
      <c r="F162" s="1" t="s">
        <v>3</v>
      </c>
      <c r="G162" s="1" t="s">
        <v>4</v>
      </c>
      <c r="H162" s="1" t="s">
        <v>12</v>
      </c>
    </row>
    <row r="163" spans="1:8" x14ac:dyDescent="0.3">
      <c r="A163" s="12" t="s">
        <v>8</v>
      </c>
      <c r="B163" s="3"/>
      <c r="C163" s="6">
        <v>4429.5</v>
      </c>
      <c r="D163" s="6">
        <v>3998.8</v>
      </c>
      <c r="E163" s="6">
        <v>2707.1</v>
      </c>
      <c r="F163" s="6">
        <v>1944.8</v>
      </c>
      <c r="G163" s="6">
        <v>2052.1</v>
      </c>
      <c r="H163" s="6">
        <v>1915</v>
      </c>
    </row>
    <row r="164" spans="1:8" x14ac:dyDescent="0.3">
      <c r="A164" s="12" t="s">
        <v>11</v>
      </c>
      <c r="B164" s="3"/>
      <c r="C164" s="6">
        <v>689.80000000000007</v>
      </c>
      <c r="D164" s="6">
        <v>716.6</v>
      </c>
      <c r="E164" s="6">
        <v>627.29999999999995</v>
      </c>
      <c r="F164" s="6">
        <v>560.90000000000009</v>
      </c>
      <c r="G164" s="6">
        <v>511.4</v>
      </c>
      <c r="H164" s="7">
        <f>329+127.8-75.2</f>
        <v>381.6</v>
      </c>
    </row>
    <row r="165" spans="1:8" x14ac:dyDescent="0.3">
      <c r="A165" s="12" t="s">
        <v>28</v>
      </c>
      <c r="B165" s="3"/>
      <c r="C165" s="6">
        <v>5270</v>
      </c>
      <c r="D165" s="6">
        <v>4023.5</v>
      </c>
      <c r="E165" s="6">
        <v>3000.3</v>
      </c>
      <c r="F165" s="6">
        <v>2497.1999999999998</v>
      </c>
      <c r="G165" s="6">
        <v>2337.3000000000002</v>
      </c>
      <c r="H165" s="7">
        <v>2325.6</v>
      </c>
    </row>
    <row r="166" spans="1:8" x14ac:dyDescent="0.3">
      <c r="A166" s="12" t="s">
        <v>5</v>
      </c>
      <c r="B166" s="1"/>
      <c r="C166" s="6">
        <v>765.8</v>
      </c>
      <c r="D166" s="6">
        <v>700.5</v>
      </c>
      <c r="E166" s="6">
        <v>742.9</v>
      </c>
      <c r="F166" s="6">
        <v>762</v>
      </c>
      <c r="G166" s="6">
        <v>798.2</v>
      </c>
      <c r="H166" s="6">
        <v>558</v>
      </c>
    </row>
    <row r="167" spans="1:8" x14ac:dyDescent="0.3">
      <c r="A167" s="12" t="s">
        <v>6</v>
      </c>
      <c r="B167" s="1"/>
      <c r="C167" s="6">
        <v>1246.5999999999999</v>
      </c>
      <c r="D167" s="6">
        <v>1188.9000000000001</v>
      </c>
      <c r="E167" s="6">
        <v>856.1</v>
      </c>
      <c r="F167" s="6">
        <v>620.6</v>
      </c>
      <c r="G167" s="6">
        <v>412.9</v>
      </c>
      <c r="H167" s="6">
        <v>551.29999999999995</v>
      </c>
    </row>
    <row r="168" spans="1:8" x14ac:dyDescent="0.3">
      <c r="A168" s="12" t="s">
        <v>29</v>
      </c>
      <c r="B168" s="3"/>
      <c r="C168" s="6">
        <v>943.5</v>
      </c>
      <c r="D168" s="6">
        <v>972.8</v>
      </c>
      <c r="E168" s="6">
        <v>683.1</v>
      </c>
      <c r="F168" s="6">
        <v>710.4</v>
      </c>
      <c r="G168" s="6">
        <v>525.6</v>
      </c>
      <c r="H168" s="7">
        <v>685.3</v>
      </c>
    </row>
    <row r="169" spans="1:8" x14ac:dyDescent="0.3">
      <c r="A169" s="12" t="s">
        <v>7</v>
      </c>
      <c r="B169" s="1"/>
      <c r="C169" s="6">
        <v>274.89999999999998</v>
      </c>
      <c r="D169" s="6">
        <v>235.5</v>
      </c>
      <c r="E169" s="6">
        <v>263.8</v>
      </c>
      <c r="F169" s="6">
        <v>161.80000000000001</v>
      </c>
      <c r="G169" s="6">
        <v>146.19999999999999</v>
      </c>
      <c r="H169" s="6">
        <v>255.4</v>
      </c>
    </row>
    <row r="170" spans="1:8" x14ac:dyDescent="0.3">
      <c r="A170" s="14"/>
      <c r="B170" s="2"/>
      <c r="C170" s="2"/>
      <c r="D170" s="2"/>
      <c r="E170" s="2"/>
      <c r="F170" s="2"/>
      <c r="G170" s="2"/>
      <c r="H170" s="2"/>
    </row>
    <row r="171" spans="1:8" x14ac:dyDescent="0.3">
      <c r="A171" s="4" t="s">
        <v>93</v>
      </c>
      <c r="B171" s="1"/>
      <c r="C171" s="8"/>
      <c r="D171" s="8"/>
      <c r="E171" s="8"/>
      <c r="F171" s="8"/>
      <c r="G171" s="8"/>
      <c r="H171" s="8"/>
    </row>
    <row r="172" spans="1:8" x14ac:dyDescent="0.3">
      <c r="A172" s="12" t="s">
        <v>94</v>
      </c>
      <c r="B172" s="11" t="s">
        <v>95</v>
      </c>
      <c r="C172" s="8">
        <f>C165-C168</f>
        <v>4326.5</v>
      </c>
      <c r="D172" s="8">
        <f t="shared" ref="D172:G172" si="48">D165-D168</f>
        <v>3050.7</v>
      </c>
      <c r="E172" s="8">
        <f t="shared" si="48"/>
        <v>2317.2000000000003</v>
      </c>
      <c r="F172" s="8">
        <f t="shared" si="48"/>
        <v>1786.7999999999997</v>
      </c>
      <c r="G172" s="8">
        <f t="shared" si="48"/>
        <v>1811.7000000000003</v>
      </c>
      <c r="H172" s="8">
        <f>H165-H168</f>
        <v>1640.3</v>
      </c>
    </row>
    <row r="173" spans="1:8" x14ac:dyDescent="0.3">
      <c r="A173" s="12" t="s">
        <v>96</v>
      </c>
      <c r="B173" s="11" t="s">
        <v>103</v>
      </c>
      <c r="C173" s="8">
        <f>(C166+D166)/2</f>
        <v>733.15</v>
      </c>
      <c r="D173" s="8">
        <f>(D166+E166)/2</f>
        <v>721.7</v>
      </c>
      <c r="E173" s="8">
        <f>(E166+F166)/2</f>
        <v>752.45</v>
      </c>
      <c r="F173" s="8">
        <f>(F166+G166)/2</f>
        <v>780.1</v>
      </c>
      <c r="G173" s="8">
        <f>(G166+H166)/2</f>
        <v>678.1</v>
      </c>
      <c r="H173" s="8"/>
    </row>
    <row r="174" spans="1:8" x14ac:dyDescent="0.3">
      <c r="A174" s="12" t="s">
        <v>97</v>
      </c>
      <c r="B174" s="11" t="s">
        <v>104</v>
      </c>
      <c r="C174" s="2">
        <f>(C167+D167)/2</f>
        <v>1217.75</v>
      </c>
      <c r="D174" s="2">
        <f t="shared" ref="D174:G174" si="49">(D167+E167)/2</f>
        <v>1022.5</v>
      </c>
      <c r="E174" s="2">
        <f t="shared" si="49"/>
        <v>738.35</v>
      </c>
      <c r="F174" s="2">
        <f t="shared" si="49"/>
        <v>516.75</v>
      </c>
      <c r="G174" s="2">
        <f t="shared" si="49"/>
        <v>482.09999999999997</v>
      </c>
    </row>
    <row r="175" spans="1:8" x14ac:dyDescent="0.3">
      <c r="A175" s="12" t="s">
        <v>98</v>
      </c>
      <c r="B175" s="11" t="s">
        <v>102</v>
      </c>
      <c r="C175" s="8">
        <f>(C169+D169)/2</f>
        <v>255.2</v>
      </c>
      <c r="D175" s="8">
        <f t="shared" ref="D175:G175" si="50">(D169+E169)/2</f>
        <v>249.65</v>
      </c>
      <c r="E175" s="8">
        <f t="shared" si="50"/>
        <v>212.8</v>
      </c>
      <c r="F175" s="8">
        <f t="shared" si="50"/>
        <v>154</v>
      </c>
      <c r="G175" s="8">
        <f t="shared" si="50"/>
        <v>200.8</v>
      </c>
      <c r="H175" s="8"/>
    </row>
    <row r="176" spans="1:8" x14ac:dyDescent="0.3">
      <c r="A176" s="12" t="s">
        <v>105</v>
      </c>
      <c r="B176" s="11" t="s">
        <v>99</v>
      </c>
      <c r="C176" s="8">
        <f>(C173/C164)*365</f>
        <v>387.93817048419828</v>
      </c>
      <c r="D176" s="8">
        <f t="shared" ref="D176:F176" si="51">(D173/D164)*365</f>
        <v>367.59768350544238</v>
      </c>
      <c r="E176" s="8">
        <f t="shared" si="51"/>
        <v>437.81962378447315</v>
      </c>
      <c r="F176" s="8">
        <f t="shared" si="51"/>
        <v>507.64218220716702</v>
      </c>
      <c r="G176" s="8">
        <f>(G173/G164)*365</f>
        <v>483.97829487680877</v>
      </c>
      <c r="H176" s="8"/>
    </row>
    <row r="177" spans="1:8" x14ac:dyDescent="0.3">
      <c r="A177" s="12" t="s">
        <v>106</v>
      </c>
      <c r="B177" s="11" t="s">
        <v>100</v>
      </c>
      <c r="C177" s="8">
        <f>(C174/C163)*365</f>
        <v>100.34512924709334</v>
      </c>
      <c r="D177" s="8">
        <f>(D174/D163)*365</f>
        <v>93.331124337301191</v>
      </c>
      <c r="E177" s="8">
        <f>(E174/E163)*365</f>
        <v>99.552196076982753</v>
      </c>
      <c r="F177" s="8">
        <f>(F174/F163)*365</f>
        <v>96.983622994652393</v>
      </c>
      <c r="G177" s="8">
        <f>(G174/G163)*365</f>
        <v>85.749476146386627</v>
      </c>
      <c r="H177" s="8"/>
    </row>
    <row r="178" spans="1:8" x14ac:dyDescent="0.3">
      <c r="A178" s="12" t="s">
        <v>107</v>
      </c>
      <c r="B178" s="11" t="s">
        <v>101</v>
      </c>
      <c r="C178" s="8">
        <f>(C175/C164)*365</f>
        <v>135.03624238909828</v>
      </c>
      <c r="D178" s="8">
        <f>(D175/D164)*365</f>
        <v>127.15915433993861</v>
      </c>
      <c r="E178" s="8">
        <f t="shared" ref="E178:G178" si="52">(E175/E164)*365</f>
        <v>123.81954407779372</v>
      </c>
      <c r="F178" s="8">
        <f t="shared" si="52"/>
        <v>100.21394187912281</v>
      </c>
      <c r="G178" s="8">
        <f t="shared" si="52"/>
        <v>143.31638639030115</v>
      </c>
      <c r="H178" s="8"/>
    </row>
    <row r="179" spans="1:8" x14ac:dyDescent="0.3">
      <c r="A179" s="12" t="s">
        <v>109</v>
      </c>
      <c r="B179" s="11" t="s">
        <v>108</v>
      </c>
      <c r="C179" s="8">
        <f>C176+C177-C178</f>
        <v>353.24705734219333</v>
      </c>
      <c r="D179" s="8">
        <f t="shared" ref="D179:G179" si="53">D176+D177-D178</f>
        <v>333.769653502805</v>
      </c>
      <c r="E179" s="8">
        <f t="shared" si="53"/>
        <v>413.55227578366225</v>
      </c>
      <c r="F179" s="8">
        <f t="shared" si="53"/>
        <v>504.4118633226966</v>
      </c>
      <c r="G179" s="8">
        <f t="shared" si="53"/>
        <v>426.41138463289423</v>
      </c>
      <c r="H179" s="8"/>
    </row>
    <row r="180" spans="1:8" x14ac:dyDescent="0.3">
      <c r="A180" s="14"/>
      <c r="B180" s="2"/>
      <c r="C180" s="2"/>
      <c r="D180" s="2"/>
      <c r="E180" s="2"/>
      <c r="F180" s="2"/>
      <c r="G180" s="2"/>
      <c r="H180" s="2"/>
    </row>
    <row r="181" spans="1:8" x14ac:dyDescent="0.3">
      <c r="A181" s="26" t="s">
        <v>56</v>
      </c>
      <c r="B181" s="26"/>
      <c r="C181" s="26"/>
      <c r="D181" s="26"/>
      <c r="E181" s="26"/>
      <c r="F181" s="26"/>
      <c r="G181" s="26"/>
      <c r="H181" s="26"/>
    </row>
    <row r="182" spans="1:8" x14ac:dyDescent="0.3">
      <c r="A182" s="11" t="s">
        <v>10</v>
      </c>
      <c r="B182" s="1"/>
      <c r="C182" s="1" t="s">
        <v>0</v>
      </c>
      <c r="D182" s="1" t="s">
        <v>1</v>
      </c>
      <c r="E182" s="1" t="s">
        <v>2</v>
      </c>
      <c r="F182" s="1" t="s">
        <v>3</v>
      </c>
      <c r="G182" s="1" t="s">
        <v>4</v>
      </c>
      <c r="H182" s="1" t="s">
        <v>12</v>
      </c>
    </row>
    <row r="183" spans="1:8" x14ac:dyDescent="0.3">
      <c r="A183" s="12" t="s">
        <v>8</v>
      </c>
      <c r="B183" s="3"/>
      <c r="C183" s="6">
        <v>4648.1000000000004</v>
      </c>
      <c r="D183" s="6">
        <v>4208.71</v>
      </c>
      <c r="E183" s="6">
        <v>3742.64</v>
      </c>
      <c r="F183" s="6">
        <v>3340.99</v>
      </c>
      <c r="G183" s="6">
        <v>2889.69</v>
      </c>
      <c r="H183" s="7">
        <v>2587.87</v>
      </c>
    </row>
    <row r="184" spans="1:8" x14ac:dyDescent="0.3">
      <c r="A184" s="12" t="s">
        <v>11</v>
      </c>
      <c r="B184" s="3"/>
      <c r="C184" s="6">
        <v>1070.76</v>
      </c>
      <c r="D184" s="6">
        <v>1066.57</v>
      </c>
      <c r="E184" s="6">
        <v>1050.4000000000001</v>
      </c>
      <c r="F184" s="6">
        <v>832.2700000000001</v>
      </c>
      <c r="G184" s="6">
        <v>645.04999999999995</v>
      </c>
      <c r="H184" s="7">
        <v>655.71</v>
      </c>
    </row>
    <row r="185" spans="1:8" x14ac:dyDescent="0.3">
      <c r="A185" s="12" t="s">
        <v>28</v>
      </c>
      <c r="B185" s="2"/>
      <c r="C185" s="7">
        <v>2843.03</v>
      </c>
      <c r="D185" s="7">
        <v>2730.92</v>
      </c>
      <c r="E185" s="7">
        <v>2834</v>
      </c>
      <c r="F185" s="7">
        <v>2264.46</v>
      </c>
      <c r="G185" s="7">
        <v>2027.59</v>
      </c>
      <c r="H185" s="7">
        <v>1641.71</v>
      </c>
    </row>
    <row r="186" spans="1:8" x14ac:dyDescent="0.3">
      <c r="A186" s="12" t="s">
        <v>5</v>
      </c>
      <c r="B186" s="1"/>
      <c r="C186" s="6">
        <v>903.85</v>
      </c>
      <c r="D186" s="6">
        <v>828.36</v>
      </c>
      <c r="E186" s="6">
        <v>815.63</v>
      </c>
      <c r="F186" s="6">
        <v>791.07</v>
      </c>
      <c r="G186" s="6">
        <v>766.47</v>
      </c>
      <c r="H186" s="6">
        <v>495.68</v>
      </c>
    </row>
    <row r="187" spans="1:8" x14ac:dyDescent="0.3">
      <c r="A187" s="12" t="s">
        <v>6</v>
      </c>
      <c r="B187" s="1"/>
      <c r="C187" s="6">
        <v>1182.74</v>
      </c>
      <c r="D187" s="6">
        <v>1246.8399999999999</v>
      </c>
      <c r="E187" s="6">
        <v>1056.9000000000001</v>
      </c>
      <c r="F187" s="6">
        <v>1019.81</v>
      </c>
      <c r="G187" s="6">
        <v>738.43</v>
      </c>
      <c r="H187" s="6">
        <v>775.3</v>
      </c>
    </row>
    <row r="188" spans="1:8" x14ac:dyDescent="0.3">
      <c r="A188" s="12" t="s">
        <v>29</v>
      </c>
      <c r="B188" s="2"/>
      <c r="C188" s="7">
        <v>996.1</v>
      </c>
      <c r="D188" s="7">
        <v>895.76</v>
      </c>
      <c r="E188" s="7">
        <v>1139.28</v>
      </c>
      <c r="F188" s="7">
        <v>647.39</v>
      </c>
      <c r="G188" s="7">
        <v>648.63</v>
      </c>
      <c r="H188" s="7">
        <v>606.16999999999996</v>
      </c>
    </row>
    <row r="189" spans="1:8" x14ac:dyDescent="0.3">
      <c r="A189" s="12" t="s">
        <v>7</v>
      </c>
      <c r="B189" s="1"/>
      <c r="C189" s="6">
        <v>454.2</v>
      </c>
      <c r="D189" s="6">
        <v>463.2</v>
      </c>
      <c r="E189" s="6">
        <v>422.77</v>
      </c>
      <c r="F189" s="6">
        <v>327.17</v>
      </c>
      <c r="G189" s="6">
        <v>373.86</v>
      </c>
      <c r="H189" s="7">
        <v>362.34</v>
      </c>
    </row>
    <row r="191" spans="1:8" x14ac:dyDescent="0.3">
      <c r="A191" s="4" t="s">
        <v>93</v>
      </c>
      <c r="B191" s="1"/>
      <c r="C191" s="8"/>
      <c r="D191" s="8"/>
      <c r="E191" s="8"/>
      <c r="F191" s="8"/>
      <c r="G191" s="8"/>
      <c r="H191" s="8"/>
    </row>
    <row r="192" spans="1:8" x14ac:dyDescent="0.3">
      <c r="A192" s="12" t="s">
        <v>94</v>
      </c>
      <c r="B192" s="11" t="s">
        <v>95</v>
      </c>
      <c r="C192" s="8">
        <f>C185-C188</f>
        <v>1846.9300000000003</v>
      </c>
      <c r="D192" s="8">
        <f t="shared" ref="D192:G192" si="54">D185-D188</f>
        <v>1835.16</v>
      </c>
      <c r="E192" s="8">
        <f t="shared" si="54"/>
        <v>1694.72</v>
      </c>
      <c r="F192" s="8">
        <f t="shared" si="54"/>
        <v>1617.0700000000002</v>
      </c>
      <c r="G192" s="8">
        <f t="shared" si="54"/>
        <v>1378.96</v>
      </c>
      <c r="H192" s="8">
        <f>H185-H188</f>
        <v>1035.54</v>
      </c>
    </row>
    <row r="193" spans="1:8" x14ac:dyDescent="0.3">
      <c r="A193" s="12" t="s">
        <v>96</v>
      </c>
      <c r="B193" s="11" t="s">
        <v>103</v>
      </c>
      <c r="C193" s="8">
        <f>(C186+D186)/2</f>
        <v>866.10500000000002</v>
      </c>
      <c r="D193" s="8">
        <f>(D186+E186)/2</f>
        <v>821.995</v>
      </c>
      <c r="E193" s="8">
        <f>(E186+F186)/2</f>
        <v>803.35</v>
      </c>
      <c r="F193" s="8">
        <f>(F186+G186)/2</f>
        <v>778.77</v>
      </c>
      <c r="G193" s="8">
        <f>(G186+H186)/2</f>
        <v>631.07500000000005</v>
      </c>
      <c r="H193" s="8"/>
    </row>
    <row r="194" spans="1:8" x14ac:dyDescent="0.3">
      <c r="A194" s="12" t="s">
        <v>97</v>
      </c>
      <c r="B194" s="11" t="s">
        <v>104</v>
      </c>
      <c r="C194" s="2">
        <f>(C187+D187)/2</f>
        <v>1214.79</v>
      </c>
      <c r="D194" s="2">
        <f t="shared" ref="D194:G194" si="55">(D187+E187)/2</f>
        <v>1151.8699999999999</v>
      </c>
      <c r="E194" s="2">
        <f t="shared" si="55"/>
        <v>1038.355</v>
      </c>
      <c r="F194" s="2">
        <f t="shared" si="55"/>
        <v>879.11999999999989</v>
      </c>
      <c r="G194" s="2">
        <f t="shared" si="55"/>
        <v>756.86500000000001</v>
      </c>
    </row>
    <row r="195" spans="1:8" x14ac:dyDescent="0.3">
      <c r="A195" s="12" t="s">
        <v>98</v>
      </c>
      <c r="B195" s="11" t="s">
        <v>102</v>
      </c>
      <c r="C195" s="8">
        <f>(C189+D189)/2</f>
        <v>458.7</v>
      </c>
      <c r="D195" s="8">
        <f t="shared" ref="D195:G195" si="56">(D189+E189)/2</f>
        <v>442.98500000000001</v>
      </c>
      <c r="E195" s="8">
        <f t="shared" si="56"/>
        <v>374.97</v>
      </c>
      <c r="F195" s="8">
        <f t="shared" si="56"/>
        <v>350.51499999999999</v>
      </c>
      <c r="G195" s="8">
        <f t="shared" si="56"/>
        <v>368.1</v>
      </c>
      <c r="H195" s="8"/>
    </row>
    <row r="196" spans="1:8" x14ac:dyDescent="0.3">
      <c r="A196" s="12" t="s">
        <v>105</v>
      </c>
      <c r="B196" s="11" t="s">
        <v>99</v>
      </c>
      <c r="C196" s="8">
        <f>(C193/C184)*365</f>
        <v>295.2373314281445</v>
      </c>
      <c r="D196" s="8">
        <f t="shared" ref="D196:F196" si="57">(D193/D184)*365</f>
        <v>281.30190704782626</v>
      </c>
      <c r="E196" s="8">
        <f t="shared" si="57"/>
        <v>279.15341774562069</v>
      </c>
      <c r="F196" s="8">
        <f t="shared" si="57"/>
        <v>341.53706129020622</v>
      </c>
      <c r="G196" s="8">
        <f>(G193/G184)*365</f>
        <v>357.09227966824284</v>
      </c>
      <c r="H196" s="8"/>
    </row>
    <row r="197" spans="1:8" x14ac:dyDescent="0.3">
      <c r="A197" s="12" t="s">
        <v>106</v>
      </c>
      <c r="B197" s="11" t="s">
        <v>100</v>
      </c>
      <c r="C197" s="8">
        <f>(C194/C183)*365</f>
        <v>95.393461844624667</v>
      </c>
      <c r="D197" s="8">
        <f>(D194/D183)*365</f>
        <v>99.895823185726726</v>
      </c>
      <c r="E197" s="8">
        <f>(E194/E183)*365</f>
        <v>101.26530336874507</v>
      </c>
      <c r="F197" s="8">
        <f>(F194/F183)*365</f>
        <v>96.043029162014847</v>
      </c>
      <c r="G197" s="8">
        <f>(G194/G183)*365</f>
        <v>95.600470984776905</v>
      </c>
      <c r="H197" s="8"/>
    </row>
    <row r="198" spans="1:8" x14ac:dyDescent="0.3">
      <c r="A198" s="12" t="s">
        <v>107</v>
      </c>
      <c r="B198" s="11" t="s">
        <v>101</v>
      </c>
      <c r="C198" s="8">
        <f>(C195/C184)*365</f>
        <v>156.36136949456463</v>
      </c>
      <c r="D198" s="8">
        <f>(D195/D184)*365</f>
        <v>151.597668226183</v>
      </c>
      <c r="E198" s="8">
        <f t="shared" ref="E198:G198" si="58">(E195/E184)*365</f>
        <v>130.29707730388424</v>
      </c>
      <c r="F198" s="8">
        <f t="shared" si="58"/>
        <v>153.72171891333338</v>
      </c>
      <c r="G198" s="8">
        <f t="shared" si="58"/>
        <v>208.28850476707237</v>
      </c>
      <c r="H198" s="8"/>
    </row>
    <row r="199" spans="1:8" x14ac:dyDescent="0.3">
      <c r="A199" s="12" t="s">
        <v>109</v>
      </c>
      <c r="B199" s="11" t="s">
        <v>108</v>
      </c>
      <c r="C199" s="8">
        <f>C196+C197-C198</f>
        <v>234.26942377820453</v>
      </c>
      <c r="D199" s="8">
        <f t="shared" ref="D199:G199" si="59">D196+D197-D198</f>
        <v>229.60006200736998</v>
      </c>
      <c r="E199" s="8">
        <f t="shared" si="59"/>
        <v>250.12164381048154</v>
      </c>
      <c r="F199" s="8">
        <f t="shared" si="59"/>
        <v>283.8583715388877</v>
      </c>
      <c r="G199" s="8">
        <f t="shared" si="59"/>
        <v>244.40424588594738</v>
      </c>
      <c r="H199" s="8"/>
    </row>
    <row r="202" spans="1:8" x14ac:dyDescent="0.3">
      <c r="A202" s="11" t="s">
        <v>124</v>
      </c>
      <c r="C202" s="1" t="s">
        <v>0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12</v>
      </c>
    </row>
    <row r="203" spans="1:8" x14ac:dyDescent="0.3">
      <c r="A203" s="14" t="s">
        <v>110</v>
      </c>
      <c r="C203" s="24">
        <f>AVERAGE(C12, C32, C52, C72, C92, C112, C132, C152, C172, C192)</f>
        <v>10024.571999999996</v>
      </c>
      <c r="D203" s="24">
        <f>AVERAGE(D12, D32, D52, D72, D92, D112, D132, D152, D172, D192)</f>
        <v>8582.7979999999989</v>
      </c>
      <c r="E203" s="24">
        <f t="shared" ref="E203:H203" si="60">AVERAGE(E12, E32, E52, E72, E92, E112, E132, E152, E172, E192)</f>
        <v>7156.4719999999998</v>
      </c>
      <c r="F203" s="24">
        <f t="shared" si="60"/>
        <v>6202.134</v>
      </c>
      <c r="G203" s="24">
        <f t="shared" si="60"/>
        <v>5028.110999999999</v>
      </c>
      <c r="H203" s="24">
        <f t="shared" si="60"/>
        <v>4171.3860000000004</v>
      </c>
    </row>
    <row r="204" spans="1:8" x14ac:dyDescent="0.3">
      <c r="A204" s="14" t="s">
        <v>120</v>
      </c>
      <c r="C204" s="24">
        <f>AVERAGE(C19, C39, C59, C79, C99, C119, C139, C159, C179, C199)</f>
        <v>215.58123187607353</v>
      </c>
      <c r="D204" s="24">
        <f>AVERAGE(D19, D39, D59, D79, D99, D119, D139, D159, D179, D199)</f>
        <v>211.61664298444498</v>
      </c>
      <c r="E204" s="24">
        <f>AVERAGE(E19, E39, E59, E79, E99, E119, E139, E159, E179, E199)</f>
        <v>222.13207359496181</v>
      </c>
      <c r="F204" s="24">
        <f>AVERAGE(F19, F39, F59, F79, F99, F119, F139, F159, F179, F199)</f>
        <v>228.89439824522142</v>
      </c>
      <c r="G204" s="24">
        <f>AVERAGE(G19, G39, G59, G79, G99, G119, G139, G159, G179, G199)</f>
        <v>218.80489308599817</v>
      </c>
      <c r="H204" s="24"/>
    </row>
    <row r="205" spans="1:8" x14ac:dyDescent="0.3">
      <c r="A205" s="11" t="s">
        <v>115</v>
      </c>
    </row>
    <row r="206" spans="1:8" x14ac:dyDescent="0.3">
      <c r="A206" s="14" t="s">
        <v>121</v>
      </c>
      <c r="C206" s="24">
        <f>AVERAGE(C12,C32,C52,C72,C92)</f>
        <v>16940.748</v>
      </c>
      <c r="D206" s="24">
        <f t="shared" ref="D206:G206" si="61">AVERAGE(D12,D32,D52,D72,D92)</f>
        <v>14813.904</v>
      </c>
      <c r="E206" s="24">
        <f t="shared" si="61"/>
        <v>11706.521999999999</v>
      </c>
      <c r="F206" s="24">
        <f t="shared" si="61"/>
        <v>10006.794</v>
      </c>
      <c r="G206" s="24">
        <f t="shared" si="61"/>
        <v>7874.793999999999</v>
      </c>
    </row>
    <row r="207" spans="1:8" x14ac:dyDescent="0.3">
      <c r="A207" s="14" t="s">
        <v>120</v>
      </c>
      <c r="C207" s="24">
        <f>AVERAGE(C19, C39, C59, C79, C99)</f>
        <v>205.335459949409</v>
      </c>
      <c r="D207" s="24">
        <f t="shared" ref="D207:G207" si="62">AVERAGE(D19, D39, D59, D79, D99)</f>
        <v>201.87177692608472</v>
      </c>
      <c r="E207" s="24">
        <f t="shared" si="62"/>
        <v>207.83109078477347</v>
      </c>
      <c r="F207" s="24">
        <f t="shared" si="62"/>
        <v>216.59005252510761</v>
      </c>
      <c r="G207" s="24">
        <f t="shared" si="62"/>
        <v>228.19477019103707</v>
      </c>
    </row>
    <row r="208" spans="1:8" x14ac:dyDescent="0.3">
      <c r="A208" s="11" t="s">
        <v>116</v>
      </c>
    </row>
    <row r="209" spans="1:7" x14ac:dyDescent="0.3">
      <c r="A209" s="14" t="s">
        <v>110</v>
      </c>
      <c r="C209" s="24">
        <f>AVERAGE(C112, C132, C152, C172, C192)</f>
        <v>3108.3959999999997</v>
      </c>
      <c r="D209" s="24">
        <f t="shared" ref="D209:G209" si="63">AVERAGE(D112, D132, D152, D172, D192)</f>
        <v>2351.692</v>
      </c>
      <c r="E209" s="24">
        <f t="shared" si="63"/>
        <v>2606.422</v>
      </c>
      <c r="F209" s="24">
        <f t="shared" si="63"/>
        <v>2397.4739999999997</v>
      </c>
      <c r="G209" s="24">
        <f t="shared" si="63"/>
        <v>2181.4279999999999</v>
      </c>
    </row>
    <row r="210" spans="1:7" x14ac:dyDescent="0.3">
      <c r="A210" s="14" t="s">
        <v>120</v>
      </c>
      <c r="C210" s="24">
        <f>AVERAGE(C119, C139, C159, C179, C199)</f>
        <v>225.82700380273803</v>
      </c>
      <c r="D210" s="24">
        <f t="shared" ref="D210:G210" si="64">AVERAGE(D119, D139, D159, D179, D199)</f>
        <v>221.36150904280527</v>
      </c>
      <c r="E210" s="24">
        <f t="shared" si="64"/>
        <v>236.43305640515018</v>
      </c>
      <c r="F210" s="24">
        <f t="shared" si="64"/>
        <v>241.19874396533524</v>
      </c>
      <c r="G210" s="24">
        <f t="shared" si="64"/>
        <v>209.41501598095928</v>
      </c>
    </row>
  </sheetData>
  <mergeCells count="10">
    <mergeCell ref="A1:H1"/>
    <mergeCell ref="A21:H21"/>
    <mergeCell ref="A41:H41"/>
    <mergeCell ref="A61:H61"/>
    <mergeCell ref="A81:H81"/>
    <mergeCell ref="A101:H101"/>
    <mergeCell ref="A121:H121"/>
    <mergeCell ref="A141:H141"/>
    <mergeCell ref="A161:H161"/>
    <mergeCell ref="A181:H181"/>
  </mergeCells>
  <pageMargins left="0.7" right="0.7" top="0.75" bottom="0.75" header="0.3" footer="0.3"/>
  <pageSetup scale="6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Working Capital Analysis</vt:lpstr>
      <vt:lpstr>FMCG</vt:lpstr>
      <vt:lpstr>Automotive</vt:lpstr>
      <vt:lpstr>Energy </vt:lpstr>
      <vt:lpstr>Metals</vt:lpstr>
      <vt:lpstr>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Mittal</dc:creator>
  <cp:lastModifiedBy>Yash Mittal</cp:lastModifiedBy>
  <cp:lastPrinted>2026-05-06T18:11:33Z</cp:lastPrinted>
  <dcterms:created xsi:type="dcterms:W3CDTF">2015-06-05T18:17:20Z</dcterms:created>
  <dcterms:modified xsi:type="dcterms:W3CDTF">2026-05-12T08:09:40Z</dcterms:modified>
</cp:coreProperties>
</file>